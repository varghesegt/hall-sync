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43.132\examcell2\10.Academic Year 2025-2026 EVEN\01.ALL CLAIM\03.PRACTICAL CLAIM\Phase 3\06_06.06.2026\"/>
    </mc:Choice>
  </mc:AlternateContent>
  <xr:revisionPtr revIDLastSave="0" documentId="13_ncr:1_{E38B43D7-5CEC-4493-83F0-C6FA383E419E}" xr6:coauthVersionLast="47" xr6:coauthVersionMax="47" xr10:uidLastSave="{00000000-0000-0000-0000-000000000000}"/>
  <bookViews>
    <workbookView xWindow="-120" yWindow="-120" windowWidth="29040" windowHeight="15720" tabRatio="869" activeTab="1" xr2:uid="{00000000-000D-0000-FFFF-FFFF00000000}"/>
  </bookViews>
  <sheets>
    <sheet name="Paste here" sheetId="1" r:id="rId1"/>
    <sheet name="Mail merge" sheetId="7" r:id="rId2"/>
    <sheet name="External" sheetId="3" r:id="rId3"/>
    <sheet name="Internal" sheetId="4" r:id="rId4"/>
    <sheet name="Skilled" sheetId="5" r:id="rId5"/>
    <sheet name="Technician" sheetId="6" r:id="rId6"/>
    <sheet name="Distance matrix" sheetId="2" r:id="rId7"/>
    <sheet name="Claim Amount" sheetId="11" r:id="rId8"/>
    <sheet name="Abst-Ext." sheetId="12" r:id="rId9"/>
    <sheet name="Abst-Int." sheetId="13" r:id="rId10"/>
    <sheet name="Abst-skilled" sheetId="14" r:id="rId11"/>
    <sheet name="Abst-Tech." sheetId="15" r:id="rId12"/>
    <sheet name="Abstract1" sheetId="8" r:id="rId13"/>
    <sheet name="Abstract2" sheetId="17" r:id="rId14"/>
    <sheet name="Abstract2 (2)" sheetId="18" r:id="rId15"/>
    <sheet name="Abstract2 (3)" sheetId="19" r:id="rId16"/>
    <sheet name="GPT cache" sheetId="9" state="veryHidden" r:id="rId17"/>
  </sheets>
  <externalReferences>
    <externalReference r:id="rId18"/>
  </externalReferences>
  <definedNames>
    <definedName name="_xlnm._FilterDatabase" localSheetId="8" hidden="1">'Abst-Ext.'!$A$1:$Q$20</definedName>
    <definedName name="_xlnm._FilterDatabase" localSheetId="9" hidden="1">'Abst-Int.'!$A$1:$Q$20</definedName>
    <definedName name="_xlnm._FilterDatabase" localSheetId="12" hidden="1">Abstract1!$A$4:$R$52</definedName>
    <definedName name="_xlnm._FilterDatabase" localSheetId="14" hidden="1">'Abstract2 (2)'!$A$5:$H$5</definedName>
    <definedName name="_xlnm._FilterDatabase" localSheetId="15" hidden="1">'Abstract2 (3)'!$A$5:$H$5</definedName>
    <definedName name="_xlnm._FilterDatabase" localSheetId="10" hidden="1">'Abst-skilled'!$A$1:$Q$20</definedName>
    <definedName name="_xlnm._FilterDatabase" localSheetId="11" hidden="1">'Abst-Tech.'!$A$1:$Q$20</definedName>
    <definedName name="_xlnm._FilterDatabase" localSheetId="6" hidden="1">'Distance matrix'!$B$1:$C$1</definedName>
    <definedName name="_xlnm._FilterDatabase" localSheetId="1" hidden="1">'Mail merge'!$A$1:$BT$1</definedName>
    <definedName name="_xlnm._FilterDatabase" localSheetId="0" hidden="1">'Paste here'!$A$1:$BD$31</definedName>
    <definedName name="_xlnm.Print_Area" localSheetId="8">'Abst-Ext.'!$A$1:$Q$36</definedName>
    <definedName name="_xlnm.Print_Area" localSheetId="9">'Abst-Int.'!$A$1:$Q$28</definedName>
    <definedName name="_xlnm.Print_Area" localSheetId="12">Abstract1!$A$1:$R$106</definedName>
    <definedName name="_xlnm.Print_Area" localSheetId="13">Abstract2!$A$1:$G$172</definedName>
    <definedName name="_xlnm.Print_Area" localSheetId="14">'Abstract2 (2)'!$A$1:$G$48</definedName>
    <definedName name="_xlnm.Print_Area" localSheetId="15">'Abstract2 (3)'!$A$1:$G$21</definedName>
    <definedName name="_xlnm.Print_Area" localSheetId="10">'Abst-skilled'!$A$1:$Q$27</definedName>
    <definedName name="_xlnm.Print_Area" localSheetId="11">'Abst-Tech.'!$A$1:$Q$37</definedName>
    <definedName name="_xlnm.Print_Area" localSheetId="6">'Distance matrix'!$A$1:$C$113</definedName>
    <definedName name="_xlnm.Print_Titles" localSheetId="8">'Abst-Ext.'!$1:$1</definedName>
    <definedName name="_xlnm.Print_Titles" localSheetId="9">'Abst-Int.'!$1:$1</definedName>
    <definedName name="_xlnm.Print_Titles" localSheetId="12">Abstract1!$4:$4</definedName>
    <definedName name="_xlnm.Print_Titles" localSheetId="13">Abstract2!$4:$4</definedName>
    <definedName name="_xlnm.Print_Titles" localSheetId="14">'Abstract2 (2)'!$5:$5</definedName>
    <definedName name="_xlnm.Print_Titles" localSheetId="15">'Abstract2 (3)'!$5:$5</definedName>
    <definedName name="_xlnm.Print_Titles" localSheetId="10">'Abst-skilled'!$1:$1</definedName>
    <definedName name="_xlnm.Print_Titles" localSheetId="11">'Abst-Tech.'!$1:$1</definedName>
    <definedName name="_xlnm.Print_Titles" localSheetId="6">'Distance matrix'!$1:$1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17" l="1"/>
  <c r="C16" i="19"/>
  <c r="O20" i="3" a="1"/>
  <c r="O21" i="3" a="1"/>
  <c r="O22" i="3" a="1"/>
  <c r="O17" i="3" a="1"/>
  <c r="O17" i="3" l="1"/>
  <c r="O20" i="3"/>
  <c r="O21" i="3"/>
  <c r="O22" i="3"/>
  <c r="C43" i="18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3" i="7"/>
  <c r="E4" i="7"/>
  <c r="E5" i="7"/>
  <c r="E6" i="7"/>
  <c r="E7" i="7"/>
  <c r="E8" i="7"/>
  <c r="E9" i="7"/>
  <c r="E10" i="7"/>
  <c r="E2" i="7"/>
  <c r="I24" i="3"/>
  <c r="A30" i="7" l="1"/>
  <c r="B30" i="7"/>
  <c r="C30" i="7"/>
  <c r="D30" i="7"/>
  <c r="F30" i="7"/>
  <c r="G30" i="7"/>
  <c r="BA30" i="7" s="1"/>
  <c r="H30" i="7"/>
  <c r="I30" i="7"/>
  <c r="K30" i="7"/>
  <c r="L30" i="7"/>
  <c r="M30" i="7"/>
  <c r="N30" i="7"/>
  <c r="O30" i="7"/>
  <c r="P30" i="7"/>
  <c r="Q30" i="7"/>
  <c r="R30" i="7"/>
  <c r="S30" i="7"/>
  <c r="X30" i="7"/>
  <c r="Y30" i="7"/>
  <c r="Z30" i="7"/>
  <c r="AA30" i="7"/>
  <c r="AD30" i="7"/>
  <c r="AE30" i="7"/>
  <c r="AF30" i="7"/>
  <c r="AG30" i="7"/>
  <c r="BT30" i="7" s="1"/>
  <c r="AI30" i="7"/>
  <c r="AJ30" i="7"/>
  <c r="AK30" i="7"/>
  <c r="AM30" i="7"/>
  <c r="AN30" i="7"/>
  <c r="AO30" i="7"/>
  <c r="AP30" i="7"/>
  <c r="Q26" i="7"/>
  <c r="E58" i="17"/>
  <c r="E59" i="17"/>
  <c r="C6" i="17"/>
  <c r="D6" i="17"/>
  <c r="E6" i="17"/>
  <c r="F6" i="17"/>
  <c r="G6" i="17"/>
  <c r="C7" i="17"/>
  <c r="D7" i="17"/>
  <c r="E7" i="17"/>
  <c r="F7" i="17"/>
  <c r="G7" i="17"/>
  <c r="C8" i="17"/>
  <c r="D8" i="17"/>
  <c r="E8" i="17"/>
  <c r="F8" i="17"/>
  <c r="G8" i="17"/>
  <c r="C9" i="17"/>
  <c r="D9" i="17"/>
  <c r="E9" i="17"/>
  <c r="F9" i="17"/>
  <c r="G9" i="17"/>
  <c r="C10" i="17"/>
  <c r="D10" i="17"/>
  <c r="E10" i="17"/>
  <c r="F10" i="17"/>
  <c r="G10" i="17"/>
  <c r="C11" i="17"/>
  <c r="D11" i="17"/>
  <c r="E11" i="17"/>
  <c r="F11" i="17"/>
  <c r="G11" i="17"/>
  <c r="C12" i="17"/>
  <c r="D12" i="17"/>
  <c r="E12" i="17"/>
  <c r="F12" i="17"/>
  <c r="G12" i="17"/>
  <c r="C13" i="17"/>
  <c r="D13" i="17"/>
  <c r="E13" i="17"/>
  <c r="F13" i="17"/>
  <c r="G13" i="17"/>
  <c r="C14" i="17"/>
  <c r="D14" i="17"/>
  <c r="E14" i="17"/>
  <c r="F14" i="17"/>
  <c r="G14" i="17"/>
  <c r="C15" i="17"/>
  <c r="D15" i="17"/>
  <c r="E15" i="17"/>
  <c r="F15" i="17"/>
  <c r="G15" i="17"/>
  <c r="C16" i="17"/>
  <c r="D16" i="17"/>
  <c r="E16" i="17"/>
  <c r="F16" i="17"/>
  <c r="G16" i="17"/>
  <c r="C17" i="17"/>
  <c r="D17" i="17"/>
  <c r="E17" i="17"/>
  <c r="F17" i="17"/>
  <c r="G17" i="17"/>
  <c r="C18" i="17"/>
  <c r="D18" i="17"/>
  <c r="E18" i="17"/>
  <c r="F18" i="17"/>
  <c r="G18" i="17"/>
  <c r="C19" i="17"/>
  <c r="D19" i="17"/>
  <c r="E19" i="17"/>
  <c r="F19" i="17"/>
  <c r="G19" i="17"/>
  <c r="C20" i="17"/>
  <c r="D20" i="17"/>
  <c r="E20" i="17"/>
  <c r="F20" i="17"/>
  <c r="G20" i="17"/>
  <c r="C21" i="17"/>
  <c r="D21" i="17"/>
  <c r="E21" i="17"/>
  <c r="F21" i="17"/>
  <c r="G21" i="17"/>
  <c r="C22" i="17"/>
  <c r="D22" i="17"/>
  <c r="E22" i="17"/>
  <c r="F22" i="17"/>
  <c r="G22" i="17"/>
  <c r="C23" i="17"/>
  <c r="D23" i="17"/>
  <c r="E23" i="17"/>
  <c r="F23" i="17"/>
  <c r="G23" i="17"/>
  <c r="C24" i="17"/>
  <c r="D24" i="17"/>
  <c r="E24" i="17"/>
  <c r="F24" i="17"/>
  <c r="G24" i="17"/>
  <c r="C25" i="17"/>
  <c r="D25" i="17"/>
  <c r="E25" i="17"/>
  <c r="F25" i="17"/>
  <c r="G25" i="17"/>
  <c r="C26" i="17"/>
  <c r="D26" i="17"/>
  <c r="E26" i="17"/>
  <c r="F26" i="17"/>
  <c r="G26" i="17"/>
  <c r="C27" i="17"/>
  <c r="D27" i="17"/>
  <c r="E27" i="17"/>
  <c r="F27" i="17"/>
  <c r="G27" i="17"/>
  <c r="C28" i="17"/>
  <c r="D28" i="17"/>
  <c r="E28" i="17"/>
  <c r="F28" i="17"/>
  <c r="G28" i="17"/>
  <c r="C29" i="17"/>
  <c r="D29" i="17"/>
  <c r="E29" i="17"/>
  <c r="F29" i="17"/>
  <c r="G29" i="17"/>
  <c r="C30" i="17"/>
  <c r="D30" i="17"/>
  <c r="E30" i="17"/>
  <c r="F30" i="17"/>
  <c r="G30" i="17"/>
  <c r="C31" i="17"/>
  <c r="D31" i="17"/>
  <c r="E31" i="17"/>
  <c r="F31" i="17"/>
  <c r="G31" i="17"/>
  <c r="C32" i="17"/>
  <c r="D32" i="17"/>
  <c r="E32" i="17"/>
  <c r="F32" i="17"/>
  <c r="G32" i="17"/>
  <c r="C33" i="17"/>
  <c r="D33" i="17"/>
  <c r="E33" i="17"/>
  <c r="F33" i="17"/>
  <c r="G33" i="17"/>
  <c r="C34" i="17"/>
  <c r="D34" i="17"/>
  <c r="E34" i="17"/>
  <c r="F34" i="17"/>
  <c r="G34" i="17"/>
  <c r="C35" i="17"/>
  <c r="D35" i="17"/>
  <c r="E35" i="17"/>
  <c r="F35" i="17"/>
  <c r="G35" i="17"/>
  <c r="C36" i="17"/>
  <c r="D36" i="17"/>
  <c r="E36" i="17"/>
  <c r="F36" i="17"/>
  <c r="G36" i="17"/>
  <c r="C37" i="17"/>
  <c r="D37" i="17"/>
  <c r="E37" i="17"/>
  <c r="F37" i="17"/>
  <c r="G37" i="17"/>
  <c r="C38" i="17"/>
  <c r="D38" i="17"/>
  <c r="E38" i="17"/>
  <c r="F38" i="17"/>
  <c r="G38" i="17"/>
  <c r="C39" i="17"/>
  <c r="D39" i="17"/>
  <c r="E39" i="17"/>
  <c r="F39" i="17"/>
  <c r="G39" i="17"/>
  <c r="C40" i="17"/>
  <c r="D40" i="17"/>
  <c r="E40" i="17"/>
  <c r="F40" i="17"/>
  <c r="G40" i="17"/>
  <c r="C41" i="17"/>
  <c r="D41" i="17"/>
  <c r="E41" i="17"/>
  <c r="F41" i="17"/>
  <c r="G41" i="17"/>
  <c r="C42" i="17"/>
  <c r="D42" i="17"/>
  <c r="E42" i="17"/>
  <c r="F42" i="17"/>
  <c r="G42" i="17"/>
  <c r="C43" i="17"/>
  <c r="D43" i="17"/>
  <c r="E43" i="17"/>
  <c r="F43" i="17"/>
  <c r="G43" i="17"/>
  <c r="C44" i="17"/>
  <c r="D44" i="17"/>
  <c r="E44" i="17"/>
  <c r="F44" i="17"/>
  <c r="G44" i="17"/>
  <c r="C45" i="17"/>
  <c r="D45" i="17"/>
  <c r="E45" i="17"/>
  <c r="F45" i="17"/>
  <c r="G45" i="17"/>
  <c r="C46" i="17"/>
  <c r="D46" i="17"/>
  <c r="E46" i="17"/>
  <c r="F46" i="17"/>
  <c r="G46" i="17"/>
  <c r="C47" i="17"/>
  <c r="D47" i="17"/>
  <c r="E47" i="17"/>
  <c r="F47" i="17"/>
  <c r="G47" i="17"/>
  <c r="C48" i="17"/>
  <c r="D48" i="17"/>
  <c r="E48" i="17"/>
  <c r="F48" i="17"/>
  <c r="G48" i="17"/>
  <c r="C49" i="17"/>
  <c r="D49" i="17"/>
  <c r="E49" i="17"/>
  <c r="F49" i="17"/>
  <c r="G49" i="17"/>
  <c r="C50" i="17"/>
  <c r="D50" i="17"/>
  <c r="E50" i="17"/>
  <c r="F50" i="17"/>
  <c r="G50" i="17"/>
  <c r="C51" i="17"/>
  <c r="D51" i="17"/>
  <c r="E51" i="17"/>
  <c r="F51" i="17"/>
  <c r="G51" i="17"/>
  <c r="C52" i="17"/>
  <c r="D52" i="17"/>
  <c r="E52" i="17"/>
  <c r="F52" i="17"/>
  <c r="G52" i="17"/>
  <c r="C53" i="17"/>
  <c r="D53" i="17"/>
  <c r="E53" i="17"/>
  <c r="F53" i="17"/>
  <c r="G53" i="17"/>
  <c r="C54" i="17"/>
  <c r="D54" i="17"/>
  <c r="E54" i="17"/>
  <c r="F54" i="17"/>
  <c r="G54" i="17"/>
  <c r="C55" i="17"/>
  <c r="D55" i="17"/>
  <c r="E55" i="17"/>
  <c r="F55" i="17"/>
  <c r="G55" i="17"/>
  <c r="C56" i="17"/>
  <c r="D56" i="17"/>
  <c r="E56" i="17"/>
  <c r="F56" i="17"/>
  <c r="G56" i="17"/>
  <c r="C57" i="17"/>
  <c r="D57" i="17"/>
  <c r="E57" i="17"/>
  <c r="F57" i="17"/>
  <c r="G57" i="17"/>
  <c r="C58" i="17"/>
  <c r="D58" i="17"/>
  <c r="F58" i="17"/>
  <c r="G58" i="17"/>
  <c r="C59" i="17"/>
  <c r="D59" i="17"/>
  <c r="F59" i="17"/>
  <c r="G59" i="17"/>
  <c r="C60" i="17"/>
  <c r="D60" i="17"/>
  <c r="E60" i="17"/>
  <c r="F60" i="17"/>
  <c r="G60" i="17"/>
  <c r="C61" i="17"/>
  <c r="D61" i="17"/>
  <c r="E61" i="17"/>
  <c r="F61" i="17"/>
  <c r="G61" i="17"/>
  <c r="C62" i="17"/>
  <c r="D62" i="17"/>
  <c r="E62" i="17"/>
  <c r="F62" i="17"/>
  <c r="G62" i="17"/>
  <c r="C63" i="17"/>
  <c r="D63" i="17"/>
  <c r="E63" i="17"/>
  <c r="F63" i="17"/>
  <c r="G63" i="17"/>
  <c r="C64" i="17"/>
  <c r="D64" i="17"/>
  <c r="E64" i="17"/>
  <c r="F64" i="17"/>
  <c r="G64" i="17"/>
  <c r="C65" i="17"/>
  <c r="D65" i="17"/>
  <c r="E65" i="17"/>
  <c r="F65" i="17"/>
  <c r="G65" i="17"/>
  <c r="C66" i="17"/>
  <c r="D66" i="17"/>
  <c r="E66" i="17"/>
  <c r="F66" i="17"/>
  <c r="G66" i="17"/>
  <c r="C67" i="17"/>
  <c r="D67" i="17"/>
  <c r="E67" i="17"/>
  <c r="F67" i="17"/>
  <c r="G67" i="17"/>
  <c r="C68" i="17"/>
  <c r="D68" i="17"/>
  <c r="E68" i="17"/>
  <c r="F68" i="17"/>
  <c r="G68" i="17"/>
  <c r="C69" i="17"/>
  <c r="D69" i="17"/>
  <c r="E69" i="17"/>
  <c r="F69" i="17"/>
  <c r="G69" i="17"/>
  <c r="C70" i="17"/>
  <c r="D70" i="17"/>
  <c r="E70" i="17"/>
  <c r="F70" i="17"/>
  <c r="G70" i="17"/>
  <c r="C71" i="17"/>
  <c r="D71" i="17"/>
  <c r="E71" i="17"/>
  <c r="F71" i="17"/>
  <c r="G71" i="17"/>
  <c r="C72" i="17"/>
  <c r="D72" i="17"/>
  <c r="E72" i="17"/>
  <c r="F72" i="17"/>
  <c r="G72" i="17"/>
  <c r="C73" i="17"/>
  <c r="D73" i="17"/>
  <c r="E73" i="17"/>
  <c r="F73" i="17"/>
  <c r="G73" i="17"/>
  <c r="C74" i="17"/>
  <c r="D74" i="17"/>
  <c r="E74" i="17"/>
  <c r="F74" i="17"/>
  <c r="G74" i="17"/>
  <c r="C75" i="17"/>
  <c r="D75" i="17"/>
  <c r="E75" i="17"/>
  <c r="F75" i="17"/>
  <c r="G75" i="17"/>
  <c r="C76" i="17"/>
  <c r="D76" i="17"/>
  <c r="E76" i="17"/>
  <c r="F76" i="17"/>
  <c r="G76" i="17"/>
  <c r="C77" i="17"/>
  <c r="D77" i="17"/>
  <c r="E77" i="17"/>
  <c r="F77" i="17"/>
  <c r="G77" i="17"/>
  <c r="C78" i="17"/>
  <c r="D78" i="17"/>
  <c r="E78" i="17"/>
  <c r="F78" i="17"/>
  <c r="G78" i="17"/>
  <c r="C79" i="17"/>
  <c r="D79" i="17"/>
  <c r="E79" i="17"/>
  <c r="F79" i="17"/>
  <c r="G79" i="17"/>
  <c r="C80" i="17"/>
  <c r="D80" i="17"/>
  <c r="E80" i="17"/>
  <c r="F80" i="17"/>
  <c r="G80" i="17"/>
  <c r="C81" i="17"/>
  <c r="D81" i="17"/>
  <c r="E81" i="17"/>
  <c r="F81" i="17"/>
  <c r="G81" i="17"/>
  <c r="C82" i="17"/>
  <c r="D82" i="17"/>
  <c r="E82" i="17"/>
  <c r="F82" i="17"/>
  <c r="G82" i="17"/>
  <c r="C83" i="17"/>
  <c r="D83" i="17"/>
  <c r="E83" i="17"/>
  <c r="F83" i="17"/>
  <c r="G83" i="17"/>
  <c r="C84" i="17"/>
  <c r="D84" i="17"/>
  <c r="E84" i="17"/>
  <c r="F84" i="17"/>
  <c r="G84" i="17"/>
  <c r="C85" i="17"/>
  <c r="D85" i="17"/>
  <c r="E85" i="17"/>
  <c r="F85" i="17"/>
  <c r="G85" i="17"/>
  <c r="C86" i="17"/>
  <c r="D86" i="17"/>
  <c r="E86" i="17"/>
  <c r="F86" i="17"/>
  <c r="G86" i="17"/>
  <c r="C87" i="17"/>
  <c r="D87" i="17"/>
  <c r="E87" i="17"/>
  <c r="F87" i="17"/>
  <c r="G87" i="17"/>
  <c r="C88" i="17"/>
  <c r="D88" i="17"/>
  <c r="E88" i="17"/>
  <c r="F88" i="17"/>
  <c r="G88" i="17"/>
  <c r="C89" i="17"/>
  <c r="D89" i="17"/>
  <c r="E89" i="17"/>
  <c r="F89" i="17"/>
  <c r="G89" i="17"/>
  <c r="C90" i="17"/>
  <c r="D90" i="17"/>
  <c r="E90" i="17"/>
  <c r="F90" i="17"/>
  <c r="G90" i="17"/>
  <c r="C91" i="17"/>
  <c r="D91" i="17"/>
  <c r="E91" i="17"/>
  <c r="F91" i="17"/>
  <c r="G91" i="17"/>
  <c r="C92" i="17"/>
  <c r="D92" i="17"/>
  <c r="E92" i="17"/>
  <c r="F92" i="17"/>
  <c r="G92" i="17"/>
  <c r="C93" i="17"/>
  <c r="D93" i="17"/>
  <c r="E93" i="17"/>
  <c r="F93" i="17"/>
  <c r="G93" i="17"/>
  <c r="C94" i="17"/>
  <c r="D94" i="17"/>
  <c r="E94" i="17"/>
  <c r="F94" i="17"/>
  <c r="G94" i="17"/>
  <c r="C95" i="17"/>
  <c r="D95" i="17"/>
  <c r="E95" i="17"/>
  <c r="F95" i="17"/>
  <c r="G95" i="17"/>
  <c r="C96" i="17"/>
  <c r="D96" i="17"/>
  <c r="E96" i="17"/>
  <c r="F96" i="17"/>
  <c r="G96" i="17"/>
  <c r="C97" i="17"/>
  <c r="D97" i="17"/>
  <c r="E97" i="17"/>
  <c r="F97" i="17"/>
  <c r="G97" i="17"/>
  <c r="C98" i="17"/>
  <c r="D98" i="17"/>
  <c r="E98" i="17"/>
  <c r="F98" i="17"/>
  <c r="G98" i="17"/>
  <c r="C99" i="17"/>
  <c r="D99" i="17"/>
  <c r="E99" i="17"/>
  <c r="F99" i="17"/>
  <c r="G99" i="17"/>
  <c r="C100" i="17"/>
  <c r="D100" i="17"/>
  <c r="E100" i="17"/>
  <c r="F100" i="17"/>
  <c r="G100" i="17"/>
  <c r="C101" i="17"/>
  <c r="D101" i="17"/>
  <c r="E101" i="17"/>
  <c r="F101" i="17"/>
  <c r="G101" i="17"/>
  <c r="C102" i="17"/>
  <c r="D102" i="17"/>
  <c r="E102" i="17"/>
  <c r="F102" i="17"/>
  <c r="G102" i="17"/>
  <c r="C103" i="17"/>
  <c r="D103" i="17"/>
  <c r="E103" i="17"/>
  <c r="F103" i="17"/>
  <c r="G103" i="17"/>
  <c r="C104" i="17"/>
  <c r="D104" i="17"/>
  <c r="E104" i="17"/>
  <c r="F104" i="17"/>
  <c r="G104" i="17"/>
  <c r="C105" i="17"/>
  <c r="D105" i="17"/>
  <c r="E105" i="17"/>
  <c r="F105" i="17"/>
  <c r="G105" i="17"/>
  <c r="C106" i="17"/>
  <c r="D106" i="17"/>
  <c r="E106" i="17"/>
  <c r="F106" i="17"/>
  <c r="G106" i="17"/>
  <c r="C107" i="17"/>
  <c r="D107" i="17"/>
  <c r="E107" i="17"/>
  <c r="F107" i="17"/>
  <c r="G107" i="17"/>
  <c r="C108" i="17"/>
  <c r="D108" i="17"/>
  <c r="E108" i="17"/>
  <c r="F108" i="17"/>
  <c r="G108" i="17"/>
  <c r="C109" i="17"/>
  <c r="D109" i="17"/>
  <c r="E109" i="17"/>
  <c r="F109" i="17"/>
  <c r="G109" i="17"/>
  <c r="C110" i="17"/>
  <c r="D110" i="17"/>
  <c r="E110" i="17"/>
  <c r="F110" i="17"/>
  <c r="G110" i="17"/>
  <c r="C111" i="17"/>
  <c r="D111" i="17"/>
  <c r="E111" i="17"/>
  <c r="F111" i="17"/>
  <c r="G111" i="17"/>
  <c r="C112" i="17"/>
  <c r="D112" i="17"/>
  <c r="E112" i="17"/>
  <c r="F112" i="17"/>
  <c r="G112" i="17"/>
  <c r="C113" i="17"/>
  <c r="D113" i="17"/>
  <c r="E113" i="17"/>
  <c r="F113" i="17"/>
  <c r="G113" i="17"/>
  <c r="C114" i="17"/>
  <c r="D114" i="17"/>
  <c r="E114" i="17"/>
  <c r="F114" i="17"/>
  <c r="G114" i="17"/>
  <c r="C115" i="17"/>
  <c r="D115" i="17"/>
  <c r="E115" i="17"/>
  <c r="F115" i="17"/>
  <c r="G115" i="17"/>
  <c r="C116" i="17"/>
  <c r="D116" i="17"/>
  <c r="E116" i="17"/>
  <c r="F116" i="17"/>
  <c r="G116" i="17"/>
  <c r="C117" i="17"/>
  <c r="D117" i="17"/>
  <c r="E117" i="17"/>
  <c r="F117" i="17"/>
  <c r="G117" i="17"/>
  <c r="C118" i="17"/>
  <c r="D118" i="17"/>
  <c r="E118" i="17"/>
  <c r="F118" i="17"/>
  <c r="G118" i="17"/>
  <c r="C119" i="17"/>
  <c r="D119" i="17"/>
  <c r="E119" i="17"/>
  <c r="F119" i="17"/>
  <c r="G119" i="17"/>
  <c r="C120" i="17"/>
  <c r="D120" i="17"/>
  <c r="E120" i="17"/>
  <c r="F120" i="17"/>
  <c r="G120" i="17"/>
  <c r="C121" i="17"/>
  <c r="D121" i="17"/>
  <c r="E121" i="17"/>
  <c r="F121" i="17"/>
  <c r="G121" i="17"/>
  <c r="C122" i="17"/>
  <c r="D122" i="17"/>
  <c r="E122" i="17"/>
  <c r="F122" i="17"/>
  <c r="G122" i="17"/>
  <c r="C123" i="17"/>
  <c r="D123" i="17"/>
  <c r="E123" i="17"/>
  <c r="F123" i="17"/>
  <c r="G123" i="17"/>
  <c r="C124" i="17"/>
  <c r="D124" i="17"/>
  <c r="E124" i="17"/>
  <c r="F124" i="17"/>
  <c r="G124" i="17"/>
  <c r="C125" i="17"/>
  <c r="D125" i="17"/>
  <c r="E125" i="17"/>
  <c r="F125" i="17"/>
  <c r="G125" i="17"/>
  <c r="C126" i="17"/>
  <c r="D126" i="17"/>
  <c r="E126" i="17"/>
  <c r="F126" i="17"/>
  <c r="G126" i="17"/>
  <c r="C127" i="17"/>
  <c r="D127" i="17"/>
  <c r="E127" i="17"/>
  <c r="F127" i="17"/>
  <c r="G127" i="17"/>
  <c r="C128" i="17"/>
  <c r="D128" i="17"/>
  <c r="E128" i="17"/>
  <c r="F128" i="17"/>
  <c r="G128" i="17"/>
  <c r="C129" i="17"/>
  <c r="D129" i="17"/>
  <c r="E129" i="17"/>
  <c r="F129" i="17"/>
  <c r="G129" i="17"/>
  <c r="C130" i="17"/>
  <c r="D130" i="17"/>
  <c r="E130" i="17"/>
  <c r="F130" i="17"/>
  <c r="G130" i="17"/>
  <c r="C131" i="17"/>
  <c r="D131" i="17"/>
  <c r="E131" i="17"/>
  <c r="F131" i="17"/>
  <c r="G131" i="17"/>
  <c r="C132" i="17"/>
  <c r="D132" i="17"/>
  <c r="E132" i="17"/>
  <c r="F132" i="17"/>
  <c r="G132" i="17"/>
  <c r="C133" i="17"/>
  <c r="D133" i="17"/>
  <c r="E133" i="17"/>
  <c r="F133" i="17"/>
  <c r="G133" i="17"/>
  <c r="C134" i="17"/>
  <c r="D134" i="17"/>
  <c r="E134" i="17"/>
  <c r="F134" i="17"/>
  <c r="G134" i="17"/>
  <c r="C135" i="17"/>
  <c r="D135" i="17"/>
  <c r="E135" i="17"/>
  <c r="F135" i="17"/>
  <c r="G135" i="17"/>
  <c r="C136" i="17"/>
  <c r="D136" i="17"/>
  <c r="E136" i="17"/>
  <c r="F136" i="17"/>
  <c r="G136" i="17"/>
  <c r="C137" i="17"/>
  <c r="D137" i="17"/>
  <c r="E137" i="17"/>
  <c r="F137" i="17"/>
  <c r="G137" i="17"/>
  <c r="C138" i="17"/>
  <c r="D138" i="17"/>
  <c r="E138" i="17"/>
  <c r="F138" i="17"/>
  <c r="G138" i="17"/>
  <c r="C139" i="17"/>
  <c r="D139" i="17"/>
  <c r="E139" i="17"/>
  <c r="F139" i="17"/>
  <c r="G139" i="17"/>
  <c r="C140" i="17"/>
  <c r="D140" i="17"/>
  <c r="E140" i="17"/>
  <c r="F140" i="17"/>
  <c r="G140" i="17"/>
  <c r="C141" i="17"/>
  <c r="D141" i="17"/>
  <c r="E141" i="17"/>
  <c r="F141" i="17"/>
  <c r="G141" i="17"/>
  <c r="C142" i="17"/>
  <c r="D142" i="17"/>
  <c r="E142" i="17"/>
  <c r="F142" i="17"/>
  <c r="G142" i="17"/>
  <c r="C143" i="17"/>
  <c r="D143" i="17"/>
  <c r="E143" i="17"/>
  <c r="F143" i="17"/>
  <c r="G143" i="17"/>
  <c r="C144" i="17"/>
  <c r="D144" i="17"/>
  <c r="E144" i="17"/>
  <c r="F144" i="17"/>
  <c r="G144" i="17"/>
  <c r="C145" i="17"/>
  <c r="D145" i="17"/>
  <c r="E145" i="17"/>
  <c r="F145" i="17"/>
  <c r="G145" i="17"/>
  <c r="C146" i="17"/>
  <c r="D146" i="17"/>
  <c r="E146" i="17"/>
  <c r="F146" i="17"/>
  <c r="G146" i="17"/>
  <c r="C147" i="17"/>
  <c r="D147" i="17"/>
  <c r="E147" i="17"/>
  <c r="F147" i="17"/>
  <c r="G147" i="17"/>
  <c r="C148" i="17"/>
  <c r="D148" i="17"/>
  <c r="E148" i="17"/>
  <c r="F148" i="17"/>
  <c r="G148" i="17"/>
  <c r="C149" i="17"/>
  <c r="D149" i="17"/>
  <c r="E149" i="17"/>
  <c r="F149" i="17"/>
  <c r="G149" i="17"/>
  <c r="C150" i="17"/>
  <c r="D150" i="17"/>
  <c r="E150" i="17"/>
  <c r="F150" i="17"/>
  <c r="G150" i="17"/>
  <c r="C151" i="17"/>
  <c r="D151" i="17"/>
  <c r="E151" i="17"/>
  <c r="F151" i="17"/>
  <c r="G151" i="17"/>
  <c r="C152" i="17"/>
  <c r="D152" i="17"/>
  <c r="E152" i="17"/>
  <c r="F152" i="17"/>
  <c r="G152" i="17"/>
  <c r="C153" i="17"/>
  <c r="D153" i="17"/>
  <c r="E153" i="17"/>
  <c r="F153" i="17"/>
  <c r="G153" i="17"/>
  <c r="C154" i="17"/>
  <c r="D154" i="17"/>
  <c r="E154" i="17"/>
  <c r="F154" i="17"/>
  <c r="G154" i="17"/>
  <c r="C155" i="17"/>
  <c r="D155" i="17"/>
  <c r="E155" i="17"/>
  <c r="F155" i="17"/>
  <c r="G155" i="17"/>
  <c r="C156" i="17"/>
  <c r="D156" i="17"/>
  <c r="E156" i="17"/>
  <c r="F156" i="17"/>
  <c r="G156" i="17"/>
  <c r="C157" i="17"/>
  <c r="D157" i="17"/>
  <c r="E157" i="17"/>
  <c r="F157" i="17"/>
  <c r="G157" i="17"/>
  <c r="C158" i="17"/>
  <c r="D158" i="17"/>
  <c r="E158" i="17"/>
  <c r="F158" i="17"/>
  <c r="G158" i="17"/>
  <c r="C159" i="17"/>
  <c r="D159" i="17"/>
  <c r="E159" i="17"/>
  <c r="F159" i="17"/>
  <c r="G159" i="17"/>
  <c r="C160" i="17"/>
  <c r="D160" i="17"/>
  <c r="E160" i="17"/>
  <c r="F160" i="17"/>
  <c r="G160" i="17"/>
  <c r="C161" i="17"/>
  <c r="D161" i="17"/>
  <c r="E161" i="17"/>
  <c r="F161" i="17"/>
  <c r="G161" i="17"/>
  <c r="C162" i="17"/>
  <c r="D162" i="17"/>
  <c r="E162" i="17"/>
  <c r="F162" i="17"/>
  <c r="G162" i="17"/>
  <c r="C163" i="17"/>
  <c r="D163" i="17"/>
  <c r="E163" i="17"/>
  <c r="F163" i="17"/>
  <c r="G163" i="17"/>
  <c r="C164" i="17"/>
  <c r="D164" i="17"/>
  <c r="E164" i="17"/>
  <c r="F164" i="17"/>
  <c r="G164" i="17"/>
  <c r="C165" i="17"/>
  <c r="D165" i="17"/>
  <c r="E165" i="17"/>
  <c r="F165" i="17"/>
  <c r="G165" i="17"/>
  <c r="B35" i="17"/>
  <c r="B34" i="17"/>
  <c r="B32" i="17"/>
  <c r="B31" i="17"/>
  <c r="B30" i="17"/>
  <c r="B29" i="17"/>
  <c r="B28" i="17"/>
  <c r="B27" i="17"/>
  <c r="B26" i="17"/>
  <c r="B23" i="17"/>
  <c r="B22" i="17"/>
  <c r="B20" i="17"/>
  <c r="B19" i="17"/>
  <c r="B18" i="17"/>
  <c r="B17" i="17"/>
  <c r="B16" i="17"/>
  <c r="B15" i="17"/>
  <c r="B14" i="17"/>
  <c r="B11" i="17"/>
  <c r="B10" i="17"/>
  <c r="B8" i="17"/>
  <c r="B7" i="17"/>
  <c r="B6" i="17"/>
  <c r="E5" i="17"/>
  <c r="C5" i="17"/>
  <c r="F5" i="17"/>
  <c r="D5" i="17"/>
  <c r="G5" i="17"/>
  <c r="B9" i="17"/>
  <c r="B12" i="17"/>
  <c r="B13" i="17"/>
  <c r="B21" i="17"/>
  <c r="B24" i="17"/>
  <c r="B25" i="17"/>
  <c r="B33" i="17"/>
  <c r="B36" i="17"/>
  <c r="B37" i="17"/>
  <c r="B38" i="17"/>
  <c r="B39" i="17"/>
  <c r="B40" i="17"/>
  <c r="B41" i="17"/>
  <c r="B42" i="17"/>
  <c r="B43" i="17"/>
  <c r="B44" i="17"/>
  <c r="B45" i="17"/>
  <c r="B46" i="17"/>
  <c r="B47" i="17"/>
  <c r="B48" i="17"/>
  <c r="B49" i="17"/>
  <c r="B50" i="17"/>
  <c r="B51" i="17"/>
  <c r="B52" i="17"/>
  <c r="B53" i="17"/>
  <c r="B54" i="17"/>
  <c r="B55" i="17"/>
  <c r="B56" i="17"/>
  <c r="B57" i="17"/>
  <c r="B58" i="17"/>
  <c r="B59" i="17"/>
  <c r="B60" i="17"/>
  <c r="B61" i="17"/>
  <c r="B62" i="17"/>
  <c r="B63" i="17"/>
  <c r="B64" i="17"/>
  <c r="B65" i="17"/>
  <c r="B66" i="17"/>
  <c r="B67" i="17"/>
  <c r="B68" i="17"/>
  <c r="B69" i="17"/>
  <c r="B70" i="17"/>
  <c r="B71" i="17"/>
  <c r="B72" i="17"/>
  <c r="B73" i="17"/>
  <c r="B74" i="17"/>
  <c r="B75" i="17"/>
  <c r="B76" i="17"/>
  <c r="B77" i="17"/>
  <c r="B78" i="17"/>
  <c r="B79" i="17"/>
  <c r="B80" i="17"/>
  <c r="B81" i="17"/>
  <c r="B82" i="17"/>
  <c r="B83" i="17"/>
  <c r="B84" i="17"/>
  <c r="B85" i="17"/>
  <c r="B86" i="17"/>
  <c r="B87" i="17"/>
  <c r="B88" i="17"/>
  <c r="B89" i="17"/>
  <c r="B90" i="17"/>
  <c r="B91" i="17"/>
  <c r="B92" i="17"/>
  <c r="B93" i="17"/>
  <c r="B94" i="17"/>
  <c r="B95" i="17"/>
  <c r="B96" i="17"/>
  <c r="B97" i="17"/>
  <c r="B98" i="17"/>
  <c r="B99" i="17"/>
  <c r="B100" i="17"/>
  <c r="B101" i="17"/>
  <c r="B102" i="17"/>
  <c r="B103" i="17"/>
  <c r="B104" i="17"/>
  <c r="B105" i="17"/>
  <c r="B106" i="17"/>
  <c r="B107" i="17"/>
  <c r="B108" i="17"/>
  <c r="B109" i="17"/>
  <c r="B110" i="17"/>
  <c r="B111" i="17"/>
  <c r="B112" i="17"/>
  <c r="B113" i="17"/>
  <c r="B114" i="17"/>
  <c r="B115" i="17"/>
  <c r="B116" i="17"/>
  <c r="B117" i="17"/>
  <c r="B118" i="17"/>
  <c r="B119" i="17"/>
  <c r="B120" i="17"/>
  <c r="B121" i="17"/>
  <c r="B122" i="17"/>
  <c r="B123" i="17"/>
  <c r="B124" i="17"/>
  <c r="B125" i="17"/>
  <c r="B126" i="17"/>
  <c r="B127" i="17"/>
  <c r="B128" i="17"/>
  <c r="B129" i="17"/>
  <c r="B130" i="17"/>
  <c r="B131" i="17"/>
  <c r="B132" i="17"/>
  <c r="B133" i="17"/>
  <c r="B134" i="17"/>
  <c r="B135" i="17"/>
  <c r="B136" i="17"/>
  <c r="B137" i="17"/>
  <c r="B138" i="17"/>
  <c r="B139" i="17"/>
  <c r="B140" i="17"/>
  <c r="B141" i="17"/>
  <c r="B142" i="17"/>
  <c r="B143" i="17"/>
  <c r="B144" i="17"/>
  <c r="B145" i="17"/>
  <c r="B146" i="17"/>
  <c r="B147" i="17"/>
  <c r="B148" i="17"/>
  <c r="B149" i="17"/>
  <c r="B150" i="17"/>
  <c r="B151" i="17"/>
  <c r="B152" i="17"/>
  <c r="B153" i="17"/>
  <c r="B154" i="17"/>
  <c r="B155" i="17"/>
  <c r="B156" i="17"/>
  <c r="B157" i="17"/>
  <c r="B158" i="17"/>
  <c r="B159" i="17"/>
  <c r="B160" i="17"/>
  <c r="B161" i="17"/>
  <c r="B162" i="17"/>
  <c r="B163" i="17"/>
  <c r="B164" i="17"/>
  <c r="B165" i="17"/>
  <c r="O65" i="3" a="1"/>
  <c r="O34" i="3" a="1"/>
  <c r="M61" i="4" a="1"/>
  <c r="M144" i="4" a="1"/>
  <c r="M114" i="4" a="1"/>
  <c r="M43" i="4" a="1"/>
  <c r="O79" i="3" a="1"/>
  <c r="M147" i="4" a="1"/>
  <c r="O54" i="3" a="1"/>
  <c r="O28" i="3" a="1"/>
  <c r="M73" i="4" a="1"/>
  <c r="M111" i="4" a="1"/>
  <c r="M66" i="4" a="1"/>
  <c r="M72" i="4" a="1"/>
  <c r="M75" i="4" a="1"/>
  <c r="M101" i="4" a="1"/>
  <c r="M108" i="4" a="1"/>
  <c r="M78" i="4" a="1"/>
  <c r="M151" i="4" a="1"/>
  <c r="M90" i="4" a="1"/>
  <c r="M55" i="4" a="1"/>
  <c r="M156" i="4" a="1"/>
  <c r="M33" i="4" a="1"/>
  <c r="M80" i="4" a="1"/>
  <c r="M84" i="4" a="1"/>
  <c r="M154" i="4" a="1"/>
  <c r="M132" i="4" a="1"/>
  <c r="M135" i="4" a="1"/>
  <c r="M118" i="4" a="1"/>
  <c r="M155" i="4" a="1"/>
  <c r="M106" i="4" a="1"/>
  <c r="M82" i="4" a="1"/>
  <c r="O49" i="3" a="1"/>
  <c r="M40" i="4" a="1"/>
  <c r="M39" i="4" a="1"/>
  <c r="O46" i="3" a="1"/>
  <c r="O56" i="3" a="1"/>
  <c r="M115" i="4" a="1"/>
  <c r="M96" i="4" a="1"/>
  <c r="M54" i="4" a="1"/>
  <c r="M53" i="4" a="1"/>
  <c r="O50" i="3" a="1"/>
  <c r="O47" i="3" a="1"/>
  <c r="M140" i="4" a="1"/>
  <c r="O37" i="3" a="1"/>
  <c r="M85" i="4" a="1"/>
  <c r="M62" i="4" a="1"/>
  <c r="O81" i="3" a="1"/>
  <c r="M109" i="4" a="1"/>
  <c r="M67" i="4" a="1"/>
  <c r="M136" i="4" a="1"/>
  <c r="O77" i="3" a="1"/>
  <c r="M157" i="4" a="1"/>
  <c r="M48" i="4" a="1"/>
  <c r="M152" i="4" a="1"/>
  <c r="M137" i="4" a="1"/>
  <c r="M50" i="4" a="1"/>
  <c r="O72" i="3" a="1"/>
  <c r="M91" i="4" a="1"/>
  <c r="M63" i="4" a="1"/>
  <c r="M31" i="4" a="1"/>
  <c r="O82" i="3" a="1"/>
  <c r="M104" i="4" a="1"/>
  <c r="M42" i="4" a="1"/>
  <c r="O39" i="3" a="1"/>
  <c r="M123" i="4" a="1"/>
  <c r="M146" i="4" a="1"/>
  <c r="M51" i="4" a="1"/>
  <c r="M97" i="4" a="1"/>
  <c r="M99" i="4" a="1"/>
  <c r="M127" i="4" a="1"/>
  <c r="M98" i="4" a="1"/>
  <c r="M133" i="4" a="1"/>
  <c r="M79" i="4" a="1"/>
  <c r="M94" i="4" a="1"/>
  <c r="O80" i="3" a="1"/>
  <c r="M41" i="4" a="1"/>
  <c r="O29" i="3" a="1"/>
  <c r="M28" i="4" a="1"/>
  <c r="O51" i="3" a="1"/>
  <c r="O76" i="3" a="1"/>
  <c r="M110" i="4" a="1"/>
  <c r="O48" i="3" a="1"/>
  <c r="O58" i="3" a="1"/>
  <c r="M56" i="4" a="1"/>
  <c r="O42" i="3" a="1"/>
  <c r="O41" i="3" a="1"/>
  <c r="M38" i="4" a="1"/>
  <c r="M142" i="4" a="1"/>
  <c r="O55" i="3" a="1"/>
  <c r="M52" i="4" a="1"/>
  <c r="M49" i="4" a="1"/>
  <c r="M64" i="4" a="1"/>
  <c r="O30" i="3" a="1"/>
  <c r="M130" i="4" a="1"/>
  <c r="O73" i="3" a="1"/>
  <c r="O74" i="3" a="1"/>
  <c r="M158" i="4" a="1"/>
  <c r="M131" i="4" a="1"/>
  <c r="O44" i="3" a="1"/>
  <c r="O71" i="3" a="1"/>
  <c r="M88" i="4" a="1"/>
  <c r="M59" i="4" a="1"/>
  <c r="M76" i="4" a="1"/>
  <c r="M124" i="4" a="1"/>
  <c r="M46" i="4" a="1"/>
  <c r="O66" i="3" a="1"/>
  <c r="M134" i="4" a="1"/>
  <c r="O53" i="3" a="1"/>
  <c r="M145" i="4" a="1"/>
  <c r="M60" i="4" a="1"/>
  <c r="M57" i="4" a="1"/>
  <c r="M121" i="4" a="1"/>
  <c r="M77" i="4" a="1"/>
  <c r="O45" i="3" a="1"/>
  <c r="M69" i="4" a="1"/>
  <c r="M129" i="4" a="1"/>
  <c r="O69" i="3" a="1"/>
  <c r="M37" i="4" a="1"/>
  <c r="O61" i="3" a="1"/>
  <c r="O31" i="3" a="1"/>
  <c r="M143" i="4" a="1"/>
  <c r="M125" i="4" a="1"/>
  <c r="M74" i="4" a="1"/>
  <c r="M86" i="4" a="1"/>
  <c r="M65" i="4" a="1"/>
  <c r="M126" i="4" a="1"/>
  <c r="M71" i="4" a="1"/>
  <c r="M81" i="4" a="1"/>
  <c r="O26" i="3" a="1"/>
  <c r="O25" i="3" a="1"/>
  <c r="O62" i="3" a="1"/>
  <c r="M29" i="4" a="1"/>
  <c r="M58" i="4" a="1"/>
  <c r="O40" i="3" a="1"/>
  <c r="M45" i="4" a="1"/>
  <c r="M107" i="4" a="1"/>
  <c r="M102" i="4" a="1"/>
  <c r="O36" i="3" a="1"/>
  <c r="M87" i="4" a="1"/>
  <c r="M47" i="4" a="1"/>
  <c r="O78" i="3" a="1"/>
  <c r="O33" i="3" a="1"/>
  <c r="M128" i="4" a="1"/>
  <c r="O38" i="3" a="1"/>
  <c r="O64" i="3" a="1"/>
  <c r="M116" i="4" a="1"/>
  <c r="M112" i="4" a="1"/>
  <c r="O60" i="3" a="1"/>
  <c r="M119" i="4" a="1"/>
  <c r="M149" i="4" a="1"/>
  <c r="O67" i="3" a="1"/>
  <c r="O35" i="3" a="1"/>
  <c r="M35" i="4" a="1"/>
  <c r="M139" i="4" a="1"/>
  <c r="M117" i="4" a="1"/>
  <c r="M34" i="4" a="1"/>
  <c r="M100" i="4" a="1"/>
  <c r="M153" i="4" a="1"/>
  <c r="O59" i="3" a="1"/>
  <c r="M120" i="4" a="1"/>
  <c r="M95" i="4" a="1"/>
  <c r="M105" i="4" a="1"/>
  <c r="M148" i="4" a="1"/>
  <c r="O75" i="3" a="1"/>
  <c r="M32" i="4" a="1"/>
  <c r="M70" i="4" a="1"/>
  <c r="O43" i="3" a="1"/>
  <c r="M68" i="4" a="1"/>
  <c r="M30" i="4" a="1"/>
  <c r="O32" i="3" a="1"/>
  <c r="M93" i="4" a="1"/>
  <c r="M141" i="4" a="1"/>
  <c r="O52" i="3" a="1"/>
  <c r="M83" i="4" a="1"/>
  <c r="M89" i="4" a="1"/>
  <c r="M122" i="4" a="1"/>
  <c r="O68" i="3" a="1"/>
  <c r="M36" i="4" a="1"/>
  <c r="O27" i="3" a="1"/>
  <c r="O63" i="3" a="1"/>
  <c r="M150" i="4" a="1"/>
  <c r="O70" i="3" a="1"/>
  <c r="M103" i="4" a="1"/>
  <c r="M92" i="4" a="1"/>
  <c r="O57" i="3" a="1"/>
  <c r="M44" i="4" a="1"/>
  <c r="M113" i="4" a="1"/>
  <c r="M138" i="4" a="1"/>
  <c r="M138" i="4" l="1"/>
  <c r="M116" i="4"/>
  <c r="M32" i="4"/>
  <c r="M123" i="4"/>
  <c r="O73" i="3"/>
  <c r="M141" i="4"/>
  <c r="O50" i="3"/>
  <c r="O29" i="3"/>
  <c r="M53" i="4"/>
  <c r="M152" i="4"/>
  <c r="M126" i="4"/>
  <c r="M115" i="4"/>
  <c r="M82" i="4"/>
  <c r="M118" i="4"/>
  <c r="M77" i="4"/>
  <c r="O38" i="3"/>
  <c r="O76" i="3"/>
  <c r="M58" i="4"/>
  <c r="M136" i="4"/>
  <c r="M127" i="4"/>
  <c r="M59" i="4"/>
  <c r="M110" i="4"/>
  <c r="M129" i="4"/>
  <c r="M43" i="4"/>
  <c r="M140" i="4"/>
  <c r="O79" i="3"/>
  <c r="M119" i="4"/>
  <c r="M47" i="4"/>
  <c r="M37" i="4"/>
  <c r="M51" i="4"/>
  <c r="M158" i="4"/>
  <c r="M102" i="4"/>
  <c r="O40" i="3"/>
  <c r="M150" i="4"/>
  <c r="M93" i="4"/>
  <c r="O35" i="3"/>
  <c r="O65" i="3"/>
  <c r="M134" i="4"/>
  <c r="O70" i="3"/>
  <c r="M63" i="4"/>
  <c r="M131" i="4"/>
  <c r="M101" i="4"/>
  <c r="M76" i="4"/>
  <c r="M81" i="4"/>
  <c r="M94" i="4"/>
  <c r="O27" i="3"/>
  <c r="M137" i="4"/>
  <c r="M151" i="4"/>
  <c r="O67" i="3"/>
  <c r="M91" i="4"/>
  <c r="M117" i="4"/>
  <c r="M70" i="4"/>
  <c r="O28" i="3"/>
  <c r="M121" i="4"/>
  <c r="M153" i="4"/>
  <c r="O69" i="3"/>
  <c r="M97" i="4"/>
  <c r="M125" i="4"/>
  <c r="M104" i="4"/>
  <c r="O56" i="3"/>
  <c r="M142" i="4"/>
  <c r="M39" i="4"/>
  <c r="M57" i="4"/>
  <c r="M107" i="4"/>
  <c r="M155" i="4"/>
  <c r="M78" i="4"/>
  <c r="M132" i="4"/>
  <c r="M33" i="4"/>
  <c r="M84" i="4"/>
  <c r="O57" i="3"/>
  <c r="O63" i="3"/>
  <c r="M109" i="4"/>
  <c r="O44" i="3"/>
  <c r="O60" i="3"/>
  <c r="M87" i="4"/>
  <c r="M146" i="4"/>
  <c r="M60" i="4"/>
  <c r="M74" i="4"/>
  <c r="M88" i="4"/>
  <c r="O33" i="3"/>
  <c r="O52" i="3"/>
  <c r="O25" i="3"/>
  <c r="M90" i="4"/>
  <c r="M95" i="4"/>
  <c r="M114" i="4"/>
  <c r="M46" i="4"/>
  <c r="M65" i="4"/>
  <c r="O66" i="3"/>
  <c r="O49" i="3"/>
  <c r="M52" i="4"/>
  <c r="O58" i="3"/>
  <c r="O32" i="3"/>
  <c r="M72" i="4"/>
  <c r="M68" i="4"/>
  <c r="M135" i="4"/>
  <c r="M49" i="4"/>
  <c r="M86" i="4"/>
  <c r="M98" i="4"/>
  <c r="O77" i="3"/>
  <c r="M130" i="4"/>
  <c r="M83" i="4"/>
  <c r="O82" i="3"/>
  <c r="M122" i="4"/>
  <c r="M99" i="4"/>
  <c r="M106" i="4"/>
  <c r="O45" i="3"/>
  <c r="M38" i="4"/>
  <c r="M40" i="4"/>
  <c r="M157" i="4"/>
  <c r="O81" i="3"/>
  <c r="M41" i="4"/>
  <c r="M44" i="4"/>
  <c r="M113" i="4"/>
  <c r="O71" i="3"/>
  <c r="M120" i="4"/>
  <c r="M103" i="4"/>
  <c r="M96" i="4"/>
  <c r="M105" i="4"/>
  <c r="M80" i="4"/>
  <c r="M139" i="4"/>
  <c r="O47" i="3"/>
  <c r="M154" i="4"/>
  <c r="M34" i="4"/>
  <c r="M108" i="4"/>
  <c r="M149" i="4"/>
  <c r="O61" i="3"/>
  <c r="M133" i="4"/>
  <c r="M124" i="4"/>
  <c r="M148" i="4"/>
  <c r="O68" i="3"/>
  <c r="O37" i="3"/>
  <c r="M85" i="4"/>
  <c r="O55" i="3"/>
  <c r="O42" i="3"/>
  <c r="M100" i="4"/>
  <c r="M111" i="4"/>
  <c r="O31" i="3"/>
  <c r="O75" i="3"/>
  <c r="M61" i="4"/>
  <c r="M89" i="4"/>
  <c r="M31" i="4"/>
  <c r="O41" i="3"/>
  <c r="M48" i="4"/>
  <c r="M30" i="4"/>
  <c r="M62" i="4"/>
  <c r="M79" i="4"/>
  <c r="O74" i="3"/>
  <c r="M54" i="4"/>
  <c r="M50" i="4"/>
  <c r="M64" i="4"/>
  <c r="O36" i="3"/>
  <c r="M42" i="4"/>
  <c r="O78" i="3"/>
  <c r="O26" i="3"/>
  <c r="M29" i="4"/>
  <c r="M128" i="4"/>
  <c r="M67" i="4"/>
  <c r="M112" i="4"/>
  <c r="M73" i="4"/>
  <c r="M145" i="4"/>
  <c r="O59" i="3"/>
  <c r="O46" i="3"/>
  <c r="M66" i="4"/>
  <c r="O54" i="3"/>
  <c r="M147" i="4"/>
  <c r="O43" i="3"/>
  <c r="M28" i="4"/>
  <c r="M35" i="4"/>
  <c r="M156" i="4"/>
  <c r="O72" i="3"/>
  <c r="O53" i="3"/>
  <c r="O64" i="3"/>
  <c r="M92" i="4"/>
  <c r="M75" i="4"/>
  <c r="M56" i="4"/>
  <c r="O34" i="3"/>
  <c r="O62" i="3"/>
  <c r="M69" i="4"/>
  <c r="M143" i="4"/>
  <c r="O80" i="3"/>
  <c r="O30" i="3"/>
  <c r="M55" i="4"/>
  <c r="O39" i="3"/>
  <c r="M36" i="4"/>
  <c r="M45" i="4"/>
  <c r="O51" i="3"/>
  <c r="M144" i="4"/>
  <c r="M71" i="4"/>
  <c r="O48" i="3"/>
  <c r="BQ30" i="7"/>
  <c r="BS30" i="7"/>
  <c r="BR30" i="7"/>
  <c r="BH30" i="7"/>
  <c r="BJ30" i="7"/>
  <c r="BI30" i="7"/>
  <c r="AZ30" i="7"/>
  <c r="AY30" i="7"/>
  <c r="AX30" i="7"/>
  <c r="AW30" i="7"/>
  <c r="AV30" i="7"/>
  <c r="AU30" i="7"/>
  <c r="AT30" i="7"/>
  <c r="AS30" i="7"/>
  <c r="BO30" i="7"/>
  <c r="BN30" i="7"/>
  <c r="BP30" i="7"/>
  <c r="BM30" i="7"/>
  <c r="BL30" i="7"/>
  <c r="BK30" i="7"/>
  <c r="BF30" i="7"/>
  <c r="BE30" i="7"/>
  <c r="BD30" i="7"/>
  <c r="BC30" i="7"/>
  <c r="BB30" i="7"/>
  <c r="A38" i="7"/>
  <c r="B38" i="7"/>
  <c r="C38" i="7"/>
  <c r="D38" i="7"/>
  <c r="F38" i="7"/>
  <c r="G38" i="7"/>
  <c r="BA38" i="7" s="1"/>
  <c r="H38" i="7"/>
  <c r="I38" i="7"/>
  <c r="K38" i="7"/>
  <c r="L38" i="7"/>
  <c r="M38" i="7"/>
  <c r="N38" i="7"/>
  <c r="O38" i="7"/>
  <c r="P38" i="7" s="1"/>
  <c r="Q38" i="7"/>
  <c r="R38" i="7"/>
  <c r="S38" i="7"/>
  <c r="X38" i="7"/>
  <c r="Y38" i="7"/>
  <c r="Z38" i="7"/>
  <c r="AA38" i="7"/>
  <c r="AD38" i="7"/>
  <c r="AE38" i="7"/>
  <c r="AF38" i="7"/>
  <c r="AG38" i="7"/>
  <c r="AI38" i="7"/>
  <c r="AJ38" i="7"/>
  <c r="AK38" i="7"/>
  <c r="AM38" i="7"/>
  <c r="AN38" i="7"/>
  <c r="AO38" i="7"/>
  <c r="AP38" i="7"/>
  <c r="AU38" i="7"/>
  <c r="A39" i="7"/>
  <c r="B39" i="7"/>
  <c r="C39" i="7"/>
  <c r="D39" i="7"/>
  <c r="F39" i="7"/>
  <c r="G39" i="7"/>
  <c r="BI39" i="7" s="1"/>
  <c r="H39" i="7"/>
  <c r="I39" i="7"/>
  <c r="K39" i="7"/>
  <c r="L39" i="7"/>
  <c r="M39" i="7"/>
  <c r="N39" i="7"/>
  <c r="O39" i="7"/>
  <c r="P39" i="7" s="1"/>
  <c r="Q39" i="7"/>
  <c r="R39" i="7"/>
  <c r="S39" i="7"/>
  <c r="X39" i="7"/>
  <c r="Y39" i="7"/>
  <c r="Z39" i="7"/>
  <c r="AA39" i="7"/>
  <c r="AD39" i="7"/>
  <c r="AE39" i="7"/>
  <c r="AF39" i="7"/>
  <c r="AG39" i="7"/>
  <c r="AI39" i="7"/>
  <c r="AJ39" i="7"/>
  <c r="AK39" i="7"/>
  <c r="AM39" i="7"/>
  <c r="AN39" i="7"/>
  <c r="AO39" i="7"/>
  <c r="AP39" i="7"/>
  <c r="AS39" i="7"/>
  <c r="AU39" i="7"/>
  <c r="AX39" i="7"/>
  <c r="AY39" i="7"/>
  <c r="AZ39" i="7"/>
  <c r="BR39" i="7"/>
  <c r="BS39" i="7"/>
  <c r="A40" i="7"/>
  <c r="B40" i="7"/>
  <c r="C40" i="7"/>
  <c r="D40" i="7"/>
  <c r="F40" i="7"/>
  <c r="G40" i="7"/>
  <c r="BL40" i="7" s="1"/>
  <c r="H40" i="7"/>
  <c r="I40" i="7"/>
  <c r="K40" i="7"/>
  <c r="L40" i="7"/>
  <c r="M40" i="7"/>
  <c r="N40" i="7"/>
  <c r="O40" i="7"/>
  <c r="P40" i="7" s="1"/>
  <c r="Q40" i="7"/>
  <c r="R40" i="7"/>
  <c r="S40" i="7"/>
  <c r="X40" i="7"/>
  <c r="Y40" i="7"/>
  <c r="Z40" i="7"/>
  <c r="AA40" i="7"/>
  <c r="AD40" i="7"/>
  <c r="AE40" i="7"/>
  <c r="AF40" i="7"/>
  <c r="AG40" i="7"/>
  <c r="AI40" i="7"/>
  <c r="AJ40" i="7"/>
  <c r="AK40" i="7"/>
  <c r="AM40" i="7"/>
  <c r="AN40" i="7"/>
  <c r="AO40" i="7"/>
  <c r="AP40" i="7"/>
  <c r="A41" i="7"/>
  <c r="B41" i="7"/>
  <c r="C41" i="7"/>
  <c r="D41" i="7"/>
  <c r="F41" i="7"/>
  <c r="G41" i="7"/>
  <c r="BQ41" i="7" s="1"/>
  <c r="H41" i="7"/>
  <c r="I41" i="7"/>
  <c r="K41" i="7"/>
  <c r="L41" i="7"/>
  <c r="M41" i="7"/>
  <c r="N41" i="7"/>
  <c r="O41" i="7"/>
  <c r="P41" i="7" s="1"/>
  <c r="Q41" i="7"/>
  <c r="R41" i="7"/>
  <c r="S41" i="7"/>
  <c r="X41" i="7"/>
  <c r="Y41" i="7"/>
  <c r="Z41" i="7"/>
  <c r="AA41" i="7"/>
  <c r="AD41" i="7"/>
  <c r="AE41" i="7"/>
  <c r="AF41" i="7"/>
  <c r="AG41" i="7"/>
  <c r="AI41" i="7"/>
  <c r="AJ41" i="7"/>
  <c r="AK41" i="7"/>
  <c r="AM41" i="7"/>
  <c r="AN41" i="7"/>
  <c r="AO41" i="7"/>
  <c r="AP41" i="7"/>
  <c r="A42" i="7"/>
  <c r="B42" i="7"/>
  <c r="C42" i="7"/>
  <c r="D42" i="7"/>
  <c r="F42" i="7"/>
  <c r="G42" i="7"/>
  <c r="AW42" i="7" s="1"/>
  <c r="H42" i="7"/>
  <c r="I42" i="7"/>
  <c r="K42" i="7"/>
  <c r="L42" i="7"/>
  <c r="M42" i="7"/>
  <c r="N42" i="7"/>
  <c r="O42" i="7"/>
  <c r="P42" i="7" s="1"/>
  <c r="Q42" i="7"/>
  <c r="R42" i="7"/>
  <c r="S42" i="7"/>
  <c r="X42" i="7"/>
  <c r="Y42" i="7"/>
  <c r="Z42" i="7"/>
  <c r="AA42" i="7"/>
  <c r="AD42" i="7"/>
  <c r="AE42" i="7"/>
  <c r="AF42" i="7"/>
  <c r="AG42" i="7"/>
  <c r="AI42" i="7"/>
  <c r="AJ42" i="7"/>
  <c r="AK42" i="7"/>
  <c r="AL42" i="7"/>
  <c r="AM42" i="7"/>
  <c r="AN42" i="7"/>
  <c r="AO42" i="7"/>
  <c r="AP42" i="7"/>
  <c r="A43" i="7"/>
  <c r="B43" i="7"/>
  <c r="C43" i="7"/>
  <c r="D43" i="7"/>
  <c r="F43" i="7"/>
  <c r="G43" i="7"/>
  <c r="BB43" i="7" s="1"/>
  <c r="H43" i="7"/>
  <c r="I43" i="7"/>
  <c r="K43" i="7"/>
  <c r="L43" i="7"/>
  <c r="M43" i="7"/>
  <c r="N43" i="7"/>
  <c r="O43" i="7"/>
  <c r="P43" i="7" s="1"/>
  <c r="Q43" i="7"/>
  <c r="R43" i="7"/>
  <c r="S43" i="7"/>
  <c r="V43" i="7"/>
  <c r="X43" i="7"/>
  <c r="Y43" i="7"/>
  <c r="Z43" i="7"/>
  <c r="AA43" i="7"/>
  <c r="AD43" i="7"/>
  <c r="AE43" i="7"/>
  <c r="AF43" i="7"/>
  <c r="AG43" i="7"/>
  <c r="AI43" i="7"/>
  <c r="AJ43" i="7"/>
  <c r="AK43" i="7"/>
  <c r="AM43" i="7"/>
  <c r="AN43" i="7"/>
  <c r="AO43" i="7"/>
  <c r="AP43" i="7"/>
  <c r="A15" i="7"/>
  <c r="B15" i="7"/>
  <c r="C15" i="7"/>
  <c r="D15" i="7"/>
  <c r="F15" i="7"/>
  <c r="G15" i="7"/>
  <c r="AY15" i="7" s="1"/>
  <c r="H15" i="7"/>
  <c r="I15" i="7"/>
  <c r="K15" i="7"/>
  <c r="L15" i="7"/>
  <c r="M15" i="7"/>
  <c r="N15" i="7"/>
  <c r="O15" i="7"/>
  <c r="P15" i="7" s="1"/>
  <c r="Q15" i="7"/>
  <c r="R15" i="7"/>
  <c r="S15" i="7"/>
  <c r="X15" i="7"/>
  <c r="Y15" i="7"/>
  <c r="Z15" i="7"/>
  <c r="AA15" i="7"/>
  <c r="AD15" i="7"/>
  <c r="AE15" i="7"/>
  <c r="AF15" i="7"/>
  <c r="AG15" i="7"/>
  <c r="AI15" i="7"/>
  <c r="AJ15" i="7"/>
  <c r="AK15" i="7"/>
  <c r="AM15" i="7"/>
  <c r="AN15" i="7"/>
  <c r="AO15" i="7"/>
  <c r="AP15" i="7"/>
  <c r="A16" i="7"/>
  <c r="B16" i="7"/>
  <c r="C16" i="7"/>
  <c r="D16" i="7"/>
  <c r="F16" i="7"/>
  <c r="G16" i="7"/>
  <c r="AT16" i="7" s="1"/>
  <c r="H16" i="7"/>
  <c r="I16" i="7"/>
  <c r="K16" i="7"/>
  <c r="L16" i="7"/>
  <c r="M16" i="7"/>
  <c r="N16" i="7"/>
  <c r="O16" i="7"/>
  <c r="P16" i="7" s="1"/>
  <c r="Q16" i="7"/>
  <c r="R16" i="7"/>
  <c r="S16" i="7"/>
  <c r="X16" i="7"/>
  <c r="Y16" i="7"/>
  <c r="Z16" i="7"/>
  <c r="AA16" i="7"/>
  <c r="AD16" i="7"/>
  <c r="AE16" i="7"/>
  <c r="AF16" i="7"/>
  <c r="AG16" i="7"/>
  <c r="AI16" i="7"/>
  <c r="AJ16" i="7"/>
  <c r="AK16" i="7"/>
  <c r="AM16" i="7"/>
  <c r="AN16" i="7"/>
  <c r="AO16" i="7"/>
  <c r="AP16" i="7"/>
  <c r="A17" i="7"/>
  <c r="B17" i="7"/>
  <c r="C17" i="7"/>
  <c r="D17" i="7"/>
  <c r="F17" i="7"/>
  <c r="G17" i="7"/>
  <c r="BL17" i="7" s="1"/>
  <c r="H17" i="7"/>
  <c r="I17" i="7"/>
  <c r="K17" i="7"/>
  <c r="L17" i="7"/>
  <c r="M17" i="7"/>
  <c r="N17" i="7"/>
  <c r="O17" i="7"/>
  <c r="P17" i="7" s="1"/>
  <c r="Q17" i="7"/>
  <c r="R17" i="7"/>
  <c r="S17" i="7"/>
  <c r="X17" i="7"/>
  <c r="Y17" i="7"/>
  <c r="Z17" i="7"/>
  <c r="AA17" i="7"/>
  <c r="AD17" i="7"/>
  <c r="AE17" i="7"/>
  <c r="AF17" i="7"/>
  <c r="AG17" i="7"/>
  <c r="AI17" i="7"/>
  <c r="AJ17" i="7"/>
  <c r="AK17" i="7"/>
  <c r="AM17" i="7"/>
  <c r="AN17" i="7"/>
  <c r="AO17" i="7"/>
  <c r="AP17" i="7"/>
  <c r="A18" i="7"/>
  <c r="B18" i="7"/>
  <c r="C18" i="7"/>
  <c r="D18" i="7"/>
  <c r="F18" i="7"/>
  <c r="G18" i="7"/>
  <c r="BQ18" i="7" s="1"/>
  <c r="H18" i="7"/>
  <c r="I18" i="7"/>
  <c r="K18" i="7"/>
  <c r="L18" i="7"/>
  <c r="M18" i="7"/>
  <c r="N18" i="7"/>
  <c r="O18" i="7"/>
  <c r="P18" i="7" s="1"/>
  <c r="Q18" i="7"/>
  <c r="R18" i="7"/>
  <c r="S18" i="7"/>
  <c r="X18" i="7"/>
  <c r="Y18" i="7"/>
  <c r="Z18" i="7"/>
  <c r="AA18" i="7"/>
  <c r="AD18" i="7"/>
  <c r="AE18" i="7"/>
  <c r="AF18" i="7"/>
  <c r="AG18" i="7"/>
  <c r="AI18" i="7"/>
  <c r="AJ18" i="7"/>
  <c r="AK18" i="7"/>
  <c r="AM18" i="7"/>
  <c r="AN18" i="7"/>
  <c r="AO18" i="7"/>
  <c r="AP18" i="7"/>
  <c r="A19" i="7"/>
  <c r="B19" i="7"/>
  <c r="C19" i="7"/>
  <c r="D19" i="7"/>
  <c r="F19" i="7"/>
  <c r="G19" i="7"/>
  <c r="AW19" i="7" s="1"/>
  <c r="H19" i="7"/>
  <c r="I19" i="7"/>
  <c r="K19" i="7"/>
  <c r="L19" i="7"/>
  <c r="M19" i="7"/>
  <c r="N19" i="7"/>
  <c r="O19" i="7"/>
  <c r="P19" i="7" s="1"/>
  <c r="Q19" i="7"/>
  <c r="R19" i="7"/>
  <c r="S19" i="7"/>
  <c r="X19" i="7"/>
  <c r="Y19" i="7"/>
  <c r="Z19" i="7"/>
  <c r="AA19" i="7"/>
  <c r="AD19" i="7"/>
  <c r="AE19" i="7"/>
  <c r="AF19" i="7"/>
  <c r="AG19" i="7"/>
  <c r="AI19" i="7"/>
  <c r="AJ19" i="7"/>
  <c r="AK19" i="7"/>
  <c r="AM19" i="7"/>
  <c r="AN19" i="7"/>
  <c r="AO19" i="7"/>
  <c r="AP19" i="7"/>
  <c r="A20" i="7"/>
  <c r="B20" i="7"/>
  <c r="C20" i="7"/>
  <c r="D20" i="7"/>
  <c r="F20" i="7"/>
  <c r="G20" i="7"/>
  <c r="BB20" i="7" s="1"/>
  <c r="H20" i="7"/>
  <c r="I20" i="7"/>
  <c r="K20" i="7"/>
  <c r="L20" i="7"/>
  <c r="M20" i="7"/>
  <c r="N20" i="7"/>
  <c r="O20" i="7"/>
  <c r="P20" i="7" s="1"/>
  <c r="Q20" i="7"/>
  <c r="R20" i="7"/>
  <c r="S20" i="7"/>
  <c r="X20" i="7"/>
  <c r="Y20" i="7"/>
  <c r="Z20" i="7"/>
  <c r="AA20" i="7"/>
  <c r="AD20" i="7"/>
  <c r="AE20" i="7"/>
  <c r="AF20" i="7"/>
  <c r="AG20" i="7"/>
  <c r="AI20" i="7"/>
  <c r="AJ20" i="7"/>
  <c r="AK20" i="7"/>
  <c r="AM20" i="7"/>
  <c r="AN20" i="7"/>
  <c r="AO20" i="7"/>
  <c r="AP20" i="7"/>
  <c r="A21" i="7"/>
  <c r="B21" i="7"/>
  <c r="C21" i="7"/>
  <c r="D21" i="7"/>
  <c r="F21" i="7"/>
  <c r="G21" i="7"/>
  <c r="BJ21" i="7" s="1"/>
  <c r="H21" i="7"/>
  <c r="I21" i="7"/>
  <c r="K21" i="7"/>
  <c r="L21" i="7"/>
  <c r="M21" i="7"/>
  <c r="N21" i="7"/>
  <c r="O21" i="7"/>
  <c r="P21" i="7" s="1"/>
  <c r="Q21" i="7"/>
  <c r="R21" i="7"/>
  <c r="S21" i="7"/>
  <c r="X21" i="7"/>
  <c r="Y21" i="7"/>
  <c r="Z21" i="7"/>
  <c r="AA21" i="7"/>
  <c r="AD21" i="7"/>
  <c r="AE21" i="7"/>
  <c r="AF21" i="7"/>
  <c r="AG21" i="7"/>
  <c r="AI21" i="7"/>
  <c r="AJ21" i="7"/>
  <c r="AK21" i="7"/>
  <c r="AM21" i="7"/>
  <c r="AN21" i="7"/>
  <c r="AO21" i="7"/>
  <c r="AP21" i="7"/>
  <c r="A22" i="7"/>
  <c r="B22" i="7"/>
  <c r="C22" i="7"/>
  <c r="D22" i="7"/>
  <c r="F22" i="7"/>
  <c r="G22" i="7"/>
  <c r="BM22" i="7" s="1"/>
  <c r="H22" i="7"/>
  <c r="I22" i="7"/>
  <c r="K22" i="7"/>
  <c r="L22" i="7"/>
  <c r="M22" i="7"/>
  <c r="N22" i="7"/>
  <c r="O22" i="7"/>
  <c r="P22" i="7" s="1"/>
  <c r="Q22" i="7"/>
  <c r="R22" i="7"/>
  <c r="S22" i="7"/>
  <c r="X22" i="7"/>
  <c r="Y22" i="7"/>
  <c r="Z22" i="7"/>
  <c r="AA22" i="7"/>
  <c r="AD22" i="7"/>
  <c r="AE22" i="7"/>
  <c r="AF22" i="7"/>
  <c r="AG22" i="7"/>
  <c r="AI22" i="7"/>
  <c r="AJ22" i="7"/>
  <c r="AK22" i="7"/>
  <c r="AM22" i="7"/>
  <c r="AN22" i="7"/>
  <c r="AO22" i="7"/>
  <c r="AP22" i="7"/>
  <c r="A23" i="7"/>
  <c r="B23" i="7"/>
  <c r="C23" i="7"/>
  <c r="D23" i="7"/>
  <c r="F23" i="7"/>
  <c r="G23" i="7"/>
  <c r="AS23" i="7" s="1"/>
  <c r="H23" i="7"/>
  <c r="I23" i="7"/>
  <c r="K23" i="7"/>
  <c r="L23" i="7"/>
  <c r="M23" i="7"/>
  <c r="N23" i="7"/>
  <c r="O23" i="7"/>
  <c r="P23" i="7" s="1"/>
  <c r="Q23" i="7"/>
  <c r="R23" i="7"/>
  <c r="S23" i="7"/>
  <c r="X23" i="7"/>
  <c r="Y23" i="7"/>
  <c r="Z23" i="7"/>
  <c r="AA23" i="7"/>
  <c r="AD23" i="7"/>
  <c r="AE23" i="7"/>
  <c r="AF23" i="7"/>
  <c r="AG23" i="7"/>
  <c r="AI23" i="7"/>
  <c r="AJ23" i="7"/>
  <c r="AK23" i="7"/>
  <c r="AM23" i="7"/>
  <c r="AN23" i="7"/>
  <c r="AO23" i="7"/>
  <c r="AP23" i="7"/>
  <c r="A24" i="7"/>
  <c r="B24" i="7"/>
  <c r="C24" i="7"/>
  <c r="D24" i="7"/>
  <c r="F24" i="7"/>
  <c r="G24" i="7"/>
  <c r="AX24" i="7" s="1"/>
  <c r="H24" i="7"/>
  <c r="I24" i="7"/>
  <c r="K24" i="7"/>
  <c r="L24" i="7"/>
  <c r="M24" i="7"/>
  <c r="N24" i="7"/>
  <c r="O24" i="7"/>
  <c r="P24" i="7" s="1"/>
  <c r="Q24" i="7"/>
  <c r="R24" i="7"/>
  <c r="S24" i="7"/>
  <c r="X24" i="7"/>
  <c r="Y24" i="7"/>
  <c r="Z24" i="7"/>
  <c r="AA24" i="7"/>
  <c r="AD24" i="7"/>
  <c r="AE24" i="7"/>
  <c r="AF24" i="7"/>
  <c r="AG24" i="7"/>
  <c r="AI24" i="7"/>
  <c r="AJ24" i="7"/>
  <c r="AK24" i="7"/>
  <c r="AM24" i="7"/>
  <c r="AN24" i="7"/>
  <c r="AO24" i="7"/>
  <c r="AP24" i="7"/>
  <c r="A25" i="7"/>
  <c r="B25" i="7"/>
  <c r="C25" i="7"/>
  <c r="D25" i="7"/>
  <c r="F25" i="7"/>
  <c r="G25" i="7"/>
  <c r="BC25" i="7" s="1"/>
  <c r="H25" i="7"/>
  <c r="I25" i="7"/>
  <c r="K25" i="7"/>
  <c r="L25" i="7"/>
  <c r="M25" i="7"/>
  <c r="N25" i="7"/>
  <c r="O25" i="7"/>
  <c r="P25" i="7" s="1"/>
  <c r="Q25" i="7"/>
  <c r="R25" i="7"/>
  <c r="S25" i="7"/>
  <c r="X25" i="7"/>
  <c r="Y25" i="7"/>
  <c r="Z25" i="7"/>
  <c r="AA25" i="7"/>
  <c r="AD25" i="7"/>
  <c r="AE25" i="7"/>
  <c r="AF25" i="7"/>
  <c r="AG25" i="7"/>
  <c r="AI25" i="7"/>
  <c r="AJ25" i="7"/>
  <c r="AK25" i="7"/>
  <c r="AM25" i="7"/>
  <c r="AN25" i="7"/>
  <c r="AO25" i="7"/>
  <c r="AP25" i="7"/>
  <c r="A26" i="7"/>
  <c r="B26" i="7"/>
  <c r="C26" i="7"/>
  <c r="D26" i="7"/>
  <c r="F26" i="7"/>
  <c r="G26" i="7"/>
  <c r="BE26" i="7" s="1"/>
  <c r="H26" i="7"/>
  <c r="I26" i="7"/>
  <c r="K26" i="7"/>
  <c r="L26" i="7"/>
  <c r="M26" i="7"/>
  <c r="N26" i="7"/>
  <c r="O26" i="7"/>
  <c r="P26" i="7" s="1"/>
  <c r="R26" i="7"/>
  <c r="S26" i="7"/>
  <c r="X26" i="7"/>
  <c r="Y26" i="7"/>
  <c r="Z26" i="7"/>
  <c r="AA26" i="7"/>
  <c r="AD26" i="7"/>
  <c r="AE26" i="7"/>
  <c r="AF26" i="7"/>
  <c r="AG26" i="7"/>
  <c r="AI26" i="7"/>
  <c r="AJ26" i="7"/>
  <c r="AK26" i="7"/>
  <c r="AM26" i="7"/>
  <c r="AN26" i="7"/>
  <c r="AO26" i="7"/>
  <c r="AP26" i="7"/>
  <c r="A27" i="7"/>
  <c r="B27" i="7"/>
  <c r="C27" i="7"/>
  <c r="D27" i="7"/>
  <c r="F27" i="7"/>
  <c r="G27" i="7"/>
  <c r="BE27" i="7" s="1"/>
  <c r="H27" i="7"/>
  <c r="I27" i="7"/>
  <c r="K27" i="7"/>
  <c r="L27" i="7"/>
  <c r="M27" i="7"/>
  <c r="N27" i="7"/>
  <c r="O27" i="7"/>
  <c r="P27" i="7" s="1"/>
  <c r="Q27" i="7"/>
  <c r="R27" i="7"/>
  <c r="S27" i="7"/>
  <c r="X27" i="7"/>
  <c r="Y27" i="7"/>
  <c r="Z27" i="7"/>
  <c r="AA27" i="7"/>
  <c r="AD27" i="7"/>
  <c r="AE27" i="7"/>
  <c r="AF27" i="7"/>
  <c r="AG27" i="7"/>
  <c r="AI27" i="7"/>
  <c r="AJ27" i="7"/>
  <c r="AK27" i="7"/>
  <c r="AM27" i="7"/>
  <c r="AN27" i="7"/>
  <c r="AO27" i="7"/>
  <c r="AP27" i="7"/>
  <c r="A28" i="7"/>
  <c r="B28" i="7"/>
  <c r="C28" i="7"/>
  <c r="D28" i="7"/>
  <c r="F28" i="7"/>
  <c r="G28" i="7"/>
  <c r="AT28" i="7" s="1"/>
  <c r="H28" i="7"/>
  <c r="I28" i="7"/>
  <c r="K28" i="7"/>
  <c r="L28" i="7"/>
  <c r="M28" i="7"/>
  <c r="N28" i="7"/>
  <c r="O28" i="7"/>
  <c r="P28" i="7" s="1"/>
  <c r="Q28" i="7"/>
  <c r="R28" i="7"/>
  <c r="S28" i="7"/>
  <c r="X28" i="7"/>
  <c r="Y28" i="7"/>
  <c r="Z28" i="7"/>
  <c r="AA28" i="7"/>
  <c r="AD28" i="7"/>
  <c r="AE28" i="7"/>
  <c r="AF28" i="7"/>
  <c r="AG28" i="7"/>
  <c r="AI28" i="7"/>
  <c r="AJ28" i="7"/>
  <c r="AK28" i="7"/>
  <c r="AM28" i="7"/>
  <c r="AN28" i="7"/>
  <c r="AO28" i="7"/>
  <c r="AP28" i="7"/>
  <c r="A29" i="7"/>
  <c r="B29" i="7"/>
  <c r="C29" i="7"/>
  <c r="D29" i="7"/>
  <c r="F29" i="7"/>
  <c r="G29" i="7"/>
  <c r="AY29" i="7" s="1"/>
  <c r="H29" i="7"/>
  <c r="I29" i="7"/>
  <c r="K29" i="7"/>
  <c r="L29" i="7"/>
  <c r="M29" i="7"/>
  <c r="N29" i="7"/>
  <c r="O29" i="7"/>
  <c r="P29" i="7" s="1"/>
  <c r="Q29" i="7"/>
  <c r="R29" i="7"/>
  <c r="S29" i="7"/>
  <c r="X29" i="7"/>
  <c r="Y29" i="7"/>
  <c r="Z29" i="7"/>
  <c r="AA29" i="7"/>
  <c r="AD29" i="7"/>
  <c r="AE29" i="7"/>
  <c r="AF29" i="7"/>
  <c r="AG29" i="7"/>
  <c r="AI29" i="7"/>
  <c r="AJ29" i="7"/>
  <c r="AK29" i="7"/>
  <c r="AM29" i="7"/>
  <c r="AN29" i="7"/>
  <c r="AO29" i="7"/>
  <c r="AP29" i="7"/>
  <c r="A31" i="7"/>
  <c r="B31" i="7"/>
  <c r="C31" i="7"/>
  <c r="D31" i="7"/>
  <c r="F31" i="7"/>
  <c r="G31" i="7"/>
  <c r="BJ31" i="7" s="1"/>
  <c r="H31" i="7"/>
  <c r="I31" i="7"/>
  <c r="K31" i="7"/>
  <c r="L31" i="7"/>
  <c r="M31" i="7"/>
  <c r="N31" i="7"/>
  <c r="O31" i="7"/>
  <c r="P31" i="7" s="1"/>
  <c r="Q31" i="7"/>
  <c r="R31" i="7"/>
  <c r="S31" i="7"/>
  <c r="X31" i="7"/>
  <c r="Y31" i="7"/>
  <c r="Z31" i="7"/>
  <c r="AA31" i="7"/>
  <c r="AD31" i="7"/>
  <c r="AE31" i="7"/>
  <c r="AF31" i="7"/>
  <c r="AG31" i="7"/>
  <c r="AI31" i="7"/>
  <c r="AJ31" i="7"/>
  <c r="AK31" i="7"/>
  <c r="AM31" i="7"/>
  <c r="AN31" i="7"/>
  <c r="AO31" i="7"/>
  <c r="AP31" i="7"/>
  <c r="A32" i="7"/>
  <c r="B32" i="7"/>
  <c r="C32" i="7"/>
  <c r="D32" i="7"/>
  <c r="F32" i="7"/>
  <c r="G32" i="7"/>
  <c r="H32" i="7"/>
  <c r="I32" i="7"/>
  <c r="K32" i="7"/>
  <c r="L32" i="7"/>
  <c r="M32" i="7"/>
  <c r="N32" i="7"/>
  <c r="O32" i="7"/>
  <c r="P32" i="7" s="1"/>
  <c r="Q32" i="7"/>
  <c r="R32" i="7"/>
  <c r="S32" i="7"/>
  <c r="X32" i="7"/>
  <c r="Y32" i="7"/>
  <c r="Z32" i="7"/>
  <c r="AA32" i="7"/>
  <c r="AD32" i="7"/>
  <c r="AE32" i="7"/>
  <c r="AF32" i="7"/>
  <c r="AG32" i="7"/>
  <c r="AI32" i="7"/>
  <c r="AJ32" i="7"/>
  <c r="AK32" i="7"/>
  <c r="AM32" i="7"/>
  <c r="AN32" i="7"/>
  <c r="AO32" i="7"/>
  <c r="AP32" i="7"/>
  <c r="A33" i="7"/>
  <c r="B33" i="7"/>
  <c r="C33" i="7"/>
  <c r="D33" i="7"/>
  <c r="F33" i="7"/>
  <c r="G33" i="7"/>
  <c r="AU33" i="7" s="1"/>
  <c r="H33" i="7"/>
  <c r="I33" i="7"/>
  <c r="K33" i="7"/>
  <c r="L33" i="7"/>
  <c r="M33" i="7"/>
  <c r="N33" i="7"/>
  <c r="O33" i="7"/>
  <c r="P33" i="7" s="1"/>
  <c r="Q33" i="7"/>
  <c r="R33" i="7"/>
  <c r="S33" i="7"/>
  <c r="X33" i="7"/>
  <c r="Y33" i="7"/>
  <c r="Z33" i="7"/>
  <c r="AA33" i="7"/>
  <c r="AD33" i="7"/>
  <c r="AE33" i="7"/>
  <c r="AF33" i="7"/>
  <c r="AG33" i="7"/>
  <c r="AI33" i="7"/>
  <c r="AJ33" i="7"/>
  <c r="AK33" i="7"/>
  <c r="AM33" i="7"/>
  <c r="AN33" i="7"/>
  <c r="AO33" i="7"/>
  <c r="AP33" i="7"/>
  <c r="A34" i="7"/>
  <c r="B34" i="7"/>
  <c r="C34" i="7"/>
  <c r="D34" i="7"/>
  <c r="F34" i="7"/>
  <c r="G34" i="7"/>
  <c r="AZ34" i="7" s="1"/>
  <c r="H34" i="7"/>
  <c r="I34" i="7"/>
  <c r="K34" i="7"/>
  <c r="L34" i="7"/>
  <c r="M34" i="7"/>
  <c r="N34" i="7"/>
  <c r="O34" i="7"/>
  <c r="P34" i="7" s="1"/>
  <c r="Q34" i="7"/>
  <c r="R34" i="7"/>
  <c r="S34" i="7"/>
  <c r="X34" i="7"/>
  <c r="Y34" i="7"/>
  <c r="Z34" i="7"/>
  <c r="AA34" i="7"/>
  <c r="AD34" i="7"/>
  <c r="AE34" i="7"/>
  <c r="AF34" i="7"/>
  <c r="AG34" i="7"/>
  <c r="AI34" i="7"/>
  <c r="AJ34" i="7"/>
  <c r="AK34" i="7"/>
  <c r="AM34" i="7"/>
  <c r="AN34" i="7"/>
  <c r="AO34" i="7"/>
  <c r="AP34" i="7"/>
  <c r="A35" i="7"/>
  <c r="B35" i="7"/>
  <c r="C35" i="7"/>
  <c r="D35" i="7"/>
  <c r="F35" i="7"/>
  <c r="G35" i="7"/>
  <c r="AT35" i="7" s="1"/>
  <c r="H35" i="7"/>
  <c r="I35" i="7"/>
  <c r="K35" i="7"/>
  <c r="L35" i="7"/>
  <c r="M35" i="7"/>
  <c r="N35" i="7"/>
  <c r="O35" i="7"/>
  <c r="P35" i="7" s="1"/>
  <c r="Q35" i="7"/>
  <c r="R35" i="7"/>
  <c r="S35" i="7"/>
  <c r="X35" i="7"/>
  <c r="Y35" i="7"/>
  <c r="Z35" i="7"/>
  <c r="AA35" i="7"/>
  <c r="AD35" i="7"/>
  <c r="AE35" i="7"/>
  <c r="AF35" i="7"/>
  <c r="AG35" i="7"/>
  <c r="AI35" i="7"/>
  <c r="AJ35" i="7"/>
  <c r="AK35" i="7"/>
  <c r="AM35" i="7"/>
  <c r="AN35" i="7"/>
  <c r="AO35" i="7"/>
  <c r="AP35" i="7"/>
  <c r="BM35" i="7"/>
  <c r="BP35" i="7"/>
  <c r="A36" i="7"/>
  <c r="B36" i="7"/>
  <c r="C36" i="7"/>
  <c r="D36" i="7"/>
  <c r="F36" i="7"/>
  <c r="G36" i="7"/>
  <c r="BB36" i="7" s="1"/>
  <c r="H36" i="7"/>
  <c r="I36" i="7"/>
  <c r="K36" i="7"/>
  <c r="L36" i="7"/>
  <c r="M36" i="7"/>
  <c r="N36" i="7"/>
  <c r="O36" i="7"/>
  <c r="P36" i="7" s="1"/>
  <c r="Q36" i="7"/>
  <c r="R36" i="7"/>
  <c r="S36" i="7"/>
  <c r="X36" i="7"/>
  <c r="Y36" i="7"/>
  <c r="Z36" i="7"/>
  <c r="AA36" i="7"/>
  <c r="AD36" i="7"/>
  <c r="AE36" i="7"/>
  <c r="AF36" i="7"/>
  <c r="AG36" i="7"/>
  <c r="AI36" i="7"/>
  <c r="AJ36" i="7"/>
  <c r="AK36" i="7"/>
  <c r="AM36" i="7"/>
  <c r="AN36" i="7"/>
  <c r="AO36" i="7"/>
  <c r="AP36" i="7"/>
  <c r="A37" i="7"/>
  <c r="B37" i="7"/>
  <c r="C37" i="7"/>
  <c r="D37" i="7"/>
  <c r="F37" i="7"/>
  <c r="G37" i="7"/>
  <c r="BL37" i="7" s="1"/>
  <c r="H37" i="7"/>
  <c r="I37" i="7"/>
  <c r="K37" i="7"/>
  <c r="L37" i="7"/>
  <c r="M37" i="7"/>
  <c r="N37" i="7"/>
  <c r="O37" i="7"/>
  <c r="P37" i="7" s="1"/>
  <c r="Q37" i="7"/>
  <c r="R37" i="7"/>
  <c r="S37" i="7"/>
  <c r="X37" i="7"/>
  <c r="Y37" i="7"/>
  <c r="Z37" i="7"/>
  <c r="AA37" i="7"/>
  <c r="AD37" i="7"/>
  <c r="AE37" i="7"/>
  <c r="AF37" i="7"/>
  <c r="AG37" i="7"/>
  <c r="AI37" i="7"/>
  <c r="AJ37" i="7"/>
  <c r="AK37" i="7"/>
  <c r="AM37" i="7"/>
  <c r="AN37" i="7"/>
  <c r="AO37" i="7"/>
  <c r="AP37" i="7"/>
  <c r="A3" i="7"/>
  <c r="B3" i="7"/>
  <c r="C3" i="7"/>
  <c r="D3" i="7"/>
  <c r="F3" i="7"/>
  <c r="G3" i="7"/>
  <c r="AT3" i="7" s="1"/>
  <c r="H3" i="7"/>
  <c r="I3" i="7"/>
  <c r="K3" i="7"/>
  <c r="L3" i="7"/>
  <c r="M3" i="7"/>
  <c r="N3" i="7"/>
  <c r="O3" i="7"/>
  <c r="P3" i="7" s="1"/>
  <c r="Q3" i="7"/>
  <c r="R3" i="7"/>
  <c r="S3" i="7"/>
  <c r="X3" i="7"/>
  <c r="Y3" i="7"/>
  <c r="Z3" i="7"/>
  <c r="AA3" i="7"/>
  <c r="AD3" i="7"/>
  <c r="AE3" i="7"/>
  <c r="AF3" i="7"/>
  <c r="AG3" i="7"/>
  <c r="AI3" i="7"/>
  <c r="AJ3" i="7"/>
  <c r="AK3" i="7"/>
  <c r="AM3" i="7"/>
  <c r="AN3" i="7"/>
  <c r="AO3" i="7"/>
  <c r="AP3" i="7"/>
  <c r="A4" i="7"/>
  <c r="B4" i="7"/>
  <c r="C4" i="7"/>
  <c r="D4" i="7"/>
  <c r="F4" i="7"/>
  <c r="G4" i="7"/>
  <c r="AS4" i="7" s="1"/>
  <c r="H4" i="7"/>
  <c r="I4" i="7"/>
  <c r="K4" i="7"/>
  <c r="L4" i="7"/>
  <c r="M4" i="7"/>
  <c r="N4" i="7"/>
  <c r="O4" i="7"/>
  <c r="P4" i="7" s="1"/>
  <c r="Q4" i="7"/>
  <c r="R4" i="7"/>
  <c r="S4" i="7"/>
  <c r="X4" i="7"/>
  <c r="Y4" i="7"/>
  <c r="Z4" i="7"/>
  <c r="AA4" i="7"/>
  <c r="AD4" i="7"/>
  <c r="AE4" i="7"/>
  <c r="AF4" i="7"/>
  <c r="AG4" i="7"/>
  <c r="AI4" i="7"/>
  <c r="AJ4" i="7"/>
  <c r="AK4" i="7"/>
  <c r="AM4" i="7"/>
  <c r="AN4" i="7"/>
  <c r="AO4" i="7"/>
  <c r="AP4" i="7"/>
  <c r="A5" i="7"/>
  <c r="B5" i="7"/>
  <c r="C5" i="7"/>
  <c r="D5" i="7"/>
  <c r="G5" i="12"/>
  <c r="F5" i="7"/>
  <c r="G5" i="7"/>
  <c r="BL5" i="7" s="1"/>
  <c r="H5" i="7"/>
  <c r="I5" i="7"/>
  <c r="K5" i="7"/>
  <c r="D5" i="12" s="1"/>
  <c r="L5" i="7"/>
  <c r="E5" i="12" s="1"/>
  <c r="M5" i="7"/>
  <c r="N5" i="7"/>
  <c r="F5" i="12" s="1"/>
  <c r="O5" i="7"/>
  <c r="J5" i="12" s="1"/>
  <c r="Q5" i="7"/>
  <c r="R5" i="7"/>
  <c r="H5" i="12" s="1"/>
  <c r="S5" i="7"/>
  <c r="I5" i="12" s="1"/>
  <c r="X5" i="7"/>
  <c r="K5" i="12" s="1"/>
  <c r="Y5" i="7"/>
  <c r="L5" i="12" s="1"/>
  <c r="Z5" i="7"/>
  <c r="M5" i="12" s="1"/>
  <c r="AA5" i="7"/>
  <c r="R5" i="12" s="1"/>
  <c r="AD5" i="7"/>
  <c r="AE5" i="7"/>
  <c r="AF5" i="7"/>
  <c r="AG5" i="7"/>
  <c r="AI5" i="7"/>
  <c r="AJ5" i="7"/>
  <c r="AK5" i="7"/>
  <c r="AM5" i="7"/>
  <c r="AN5" i="7"/>
  <c r="AO5" i="7"/>
  <c r="AP5" i="7"/>
  <c r="A6" i="7"/>
  <c r="B6" i="7"/>
  <c r="C6" i="7"/>
  <c r="D6" i="7"/>
  <c r="G6" i="12"/>
  <c r="F6" i="7"/>
  <c r="G6" i="7"/>
  <c r="BQ6" i="7" s="1"/>
  <c r="H6" i="7"/>
  <c r="I6" i="7"/>
  <c r="K6" i="7"/>
  <c r="D6" i="12" s="1"/>
  <c r="L6" i="7"/>
  <c r="E6" i="12" s="1"/>
  <c r="M6" i="7"/>
  <c r="N6" i="7"/>
  <c r="F6" i="12" s="1"/>
  <c r="O6" i="7"/>
  <c r="P6" i="7" s="1"/>
  <c r="Q6" i="7"/>
  <c r="R6" i="7"/>
  <c r="H6" i="12" s="1"/>
  <c r="S6" i="7"/>
  <c r="I6" i="12" s="1"/>
  <c r="X6" i="7"/>
  <c r="K6" i="12" s="1"/>
  <c r="Y6" i="7"/>
  <c r="L6" i="12" s="1"/>
  <c r="Z6" i="7"/>
  <c r="M6" i="12" s="1"/>
  <c r="AA6" i="7"/>
  <c r="R6" i="12" s="1"/>
  <c r="AD6" i="7"/>
  <c r="AE6" i="7"/>
  <c r="AF6" i="7"/>
  <c r="AG6" i="7"/>
  <c r="AI6" i="7"/>
  <c r="AJ6" i="7"/>
  <c r="AK6" i="7"/>
  <c r="AM6" i="7"/>
  <c r="AN6" i="7"/>
  <c r="AO6" i="7"/>
  <c r="AP6" i="7"/>
  <c r="A7" i="7"/>
  <c r="B7" i="7"/>
  <c r="C7" i="7"/>
  <c r="D7" i="7"/>
  <c r="G7" i="12"/>
  <c r="F7" i="7"/>
  <c r="G7" i="7"/>
  <c r="AW7" i="7" s="1"/>
  <c r="H7" i="7"/>
  <c r="I7" i="7"/>
  <c r="K7" i="7"/>
  <c r="D7" i="12" s="1"/>
  <c r="L7" i="7"/>
  <c r="E7" i="12" s="1"/>
  <c r="M7" i="7"/>
  <c r="N7" i="7"/>
  <c r="F7" i="12" s="1"/>
  <c r="O7" i="7"/>
  <c r="J7" i="12" s="1"/>
  <c r="Q7" i="7"/>
  <c r="R7" i="7"/>
  <c r="H7" i="12" s="1"/>
  <c r="S7" i="7"/>
  <c r="I7" i="12" s="1"/>
  <c r="X7" i="7"/>
  <c r="K7" i="12" s="1"/>
  <c r="Y7" i="7"/>
  <c r="L7" i="12" s="1"/>
  <c r="Z7" i="7"/>
  <c r="M7" i="12" s="1"/>
  <c r="AA7" i="7"/>
  <c r="R7" i="12" s="1"/>
  <c r="AD7" i="7"/>
  <c r="AE7" i="7"/>
  <c r="AF7" i="7"/>
  <c r="AG7" i="7"/>
  <c r="AI7" i="7"/>
  <c r="AJ7" i="7"/>
  <c r="AK7" i="7"/>
  <c r="AM7" i="7"/>
  <c r="AN7" i="7"/>
  <c r="AO7" i="7"/>
  <c r="AP7" i="7"/>
  <c r="A8" i="7"/>
  <c r="B8" i="7"/>
  <c r="C8" i="7"/>
  <c r="D8" i="7"/>
  <c r="G8" i="12"/>
  <c r="F8" i="7"/>
  <c r="G8" i="7"/>
  <c r="BB8" i="7" s="1"/>
  <c r="H8" i="7"/>
  <c r="I8" i="7"/>
  <c r="K8" i="7"/>
  <c r="D8" i="12" s="1"/>
  <c r="L8" i="7"/>
  <c r="E8" i="12" s="1"/>
  <c r="M8" i="7"/>
  <c r="N8" i="7"/>
  <c r="F8" i="12" s="1"/>
  <c r="O8" i="7"/>
  <c r="J8" i="12" s="1"/>
  <c r="Q8" i="7"/>
  <c r="R8" i="7"/>
  <c r="H8" i="12" s="1"/>
  <c r="S8" i="7"/>
  <c r="I8" i="12" s="1"/>
  <c r="X8" i="7"/>
  <c r="K8" i="12" s="1"/>
  <c r="Y8" i="7"/>
  <c r="L8" i="12" s="1"/>
  <c r="Z8" i="7"/>
  <c r="M8" i="12" s="1"/>
  <c r="AA8" i="7"/>
  <c r="R8" i="12" s="1"/>
  <c r="AD8" i="7"/>
  <c r="AE8" i="7"/>
  <c r="AF8" i="7"/>
  <c r="AG8" i="7"/>
  <c r="AI8" i="7"/>
  <c r="AJ8" i="7"/>
  <c r="AK8" i="7"/>
  <c r="AM8" i="7"/>
  <c r="AN8" i="7"/>
  <c r="AO8" i="7"/>
  <c r="AP8" i="7"/>
  <c r="A9" i="7"/>
  <c r="B9" i="7"/>
  <c r="C9" i="7"/>
  <c r="D9" i="7"/>
  <c r="G9" i="12"/>
  <c r="F9" i="7"/>
  <c r="G9" i="7"/>
  <c r="BJ9" i="7" s="1"/>
  <c r="H9" i="7"/>
  <c r="I9" i="7"/>
  <c r="K9" i="7"/>
  <c r="D9" i="12" s="1"/>
  <c r="L9" i="7"/>
  <c r="E9" i="12" s="1"/>
  <c r="M9" i="7"/>
  <c r="N9" i="7"/>
  <c r="F9" i="12" s="1"/>
  <c r="O9" i="7"/>
  <c r="J9" i="12" s="1"/>
  <c r="Q9" i="7"/>
  <c r="R9" i="7"/>
  <c r="H9" i="12" s="1"/>
  <c r="S9" i="7"/>
  <c r="I9" i="12" s="1"/>
  <c r="X9" i="7"/>
  <c r="K9" i="12" s="1"/>
  <c r="Y9" i="7"/>
  <c r="L9" i="12" s="1"/>
  <c r="Z9" i="7"/>
  <c r="M9" i="12" s="1"/>
  <c r="AA9" i="7"/>
  <c r="R9" i="12" s="1"/>
  <c r="AD9" i="7"/>
  <c r="AE9" i="7"/>
  <c r="AF9" i="7"/>
  <c r="AG9" i="7"/>
  <c r="AI9" i="7"/>
  <c r="AJ9" i="7"/>
  <c r="AK9" i="7"/>
  <c r="AM9" i="7"/>
  <c r="AN9" i="7"/>
  <c r="AO9" i="7"/>
  <c r="AP9" i="7"/>
  <c r="A10" i="7"/>
  <c r="B10" i="7"/>
  <c r="C10" i="7"/>
  <c r="D10" i="7"/>
  <c r="F10" i="7"/>
  <c r="G10" i="7"/>
  <c r="BM10" i="7" s="1"/>
  <c r="H10" i="7"/>
  <c r="I10" i="7"/>
  <c r="K10" i="7"/>
  <c r="L10" i="7"/>
  <c r="M10" i="7"/>
  <c r="N10" i="7"/>
  <c r="O10" i="7"/>
  <c r="P10" i="7" s="1"/>
  <c r="Q10" i="7"/>
  <c r="R10" i="7"/>
  <c r="S10" i="7"/>
  <c r="X10" i="7"/>
  <c r="Y10" i="7"/>
  <c r="Z10" i="7"/>
  <c r="AA10" i="7"/>
  <c r="AD10" i="7"/>
  <c r="AE10" i="7"/>
  <c r="AF10" i="7"/>
  <c r="AG10" i="7"/>
  <c r="AI10" i="7"/>
  <c r="AJ10" i="7"/>
  <c r="AK10" i="7"/>
  <c r="AM10" i="7"/>
  <c r="AN10" i="7"/>
  <c r="AO10" i="7"/>
  <c r="AP10" i="7"/>
  <c r="A11" i="7"/>
  <c r="B11" i="7"/>
  <c r="C11" i="7"/>
  <c r="D11" i="7"/>
  <c r="F11" i="7"/>
  <c r="G11" i="7"/>
  <c r="AU11" i="7" s="1"/>
  <c r="H11" i="7"/>
  <c r="I11" i="7"/>
  <c r="K11" i="7"/>
  <c r="L11" i="7"/>
  <c r="M11" i="7"/>
  <c r="N11" i="7"/>
  <c r="O11" i="7"/>
  <c r="P11" i="7" s="1"/>
  <c r="Q11" i="7"/>
  <c r="R11" i="7"/>
  <c r="S11" i="7"/>
  <c r="X11" i="7"/>
  <c r="Y11" i="7"/>
  <c r="Z11" i="7"/>
  <c r="AA11" i="7"/>
  <c r="AD11" i="7"/>
  <c r="AE11" i="7"/>
  <c r="AF11" i="7"/>
  <c r="AG11" i="7"/>
  <c r="AI11" i="7"/>
  <c r="AJ11" i="7"/>
  <c r="AK11" i="7"/>
  <c r="AM11" i="7"/>
  <c r="AN11" i="7"/>
  <c r="AO11" i="7"/>
  <c r="AP11" i="7"/>
  <c r="A12" i="7"/>
  <c r="B12" i="7"/>
  <c r="C12" i="7"/>
  <c r="D12" i="7"/>
  <c r="F12" i="7"/>
  <c r="G12" i="7"/>
  <c r="AZ12" i="7" s="1"/>
  <c r="H12" i="7"/>
  <c r="I12" i="7"/>
  <c r="K12" i="7"/>
  <c r="L12" i="7"/>
  <c r="M12" i="7"/>
  <c r="N12" i="7"/>
  <c r="O12" i="7"/>
  <c r="P12" i="7" s="1"/>
  <c r="Q12" i="7"/>
  <c r="R12" i="7"/>
  <c r="S12" i="7"/>
  <c r="X12" i="7"/>
  <c r="Y12" i="7"/>
  <c r="Z12" i="7"/>
  <c r="AA12" i="7"/>
  <c r="AD12" i="7"/>
  <c r="AE12" i="7"/>
  <c r="AF12" i="7"/>
  <c r="AG12" i="7"/>
  <c r="AI12" i="7"/>
  <c r="AJ12" i="7"/>
  <c r="AK12" i="7"/>
  <c r="AM12" i="7"/>
  <c r="AN12" i="7"/>
  <c r="AO12" i="7"/>
  <c r="AP12" i="7"/>
  <c r="A13" i="7"/>
  <c r="B13" i="7"/>
  <c r="C13" i="7"/>
  <c r="D13" i="7"/>
  <c r="F13" i="7"/>
  <c r="G13" i="7"/>
  <c r="BC13" i="7" s="1"/>
  <c r="H13" i="7"/>
  <c r="I13" i="7"/>
  <c r="K13" i="7"/>
  <c r="L13" i="7"/>
  <c r="M13" i="7"/>
  <c r="N13" i="7"/>
  <c r="O13" i="7"/>
  <c r="P13" i="7" s="1"/>
  <c r="Q13" i="7"/>
  <c r="R13" i="7"/>
  <c r="S13" i="7"/>
  <c r="X13" i="7"/>
  <c r="Y13" i="7"/>
  <c r="Z13" i="7"/>
  <c r="AA13" i="7"/>
  <c r="AD13" i="7"/>
  <c r="AE13" i="7"/>
  <c r="AF13" i="7"/>
  <c r="AG13" i="7"/>
  <c r="AI13" i="7"/>
  <c r="AJ13" i="7"/>
  <c r="AK13" i="7"/>
  <c r="AM13" i="7"/>
  <c r="AN13" i="7"/>
  <c r="AO13" i="7"/>
  <c r="AP13" i="7"/>
  <c r="A14" i="7"/>
  <c r="B14" i="7"/>
  <c r="C14" i="7"/>
  <c r="D14" i="7"/>
  <c r="F14" i="7"/>
  <c r="G14" i="7"/>
  <c r="BI14" i="7" s="1"/>
  <c r="H14" i="7"/>
  <c r="I14" i="7"/>
  <c r="K14" i="7"/>
  <c r="L14" i="7"/>
  <c r="M14" i="7"/>
  <c r="N14" i="7"/>
  <c r="O14" i="7"/>
  <c r="P14" i="7" s="1"/>
  <c r="Q14" i="7"/>
  <c r="R14" i="7"/>
  <c r="S14" i="7"/>
  <c r="X14" i="7"/>
  <c r="Y14" i="7"/>
  <c r="Z14" i="7"/>
  <c r="AA14" i="7"/>
  <c r="AD14" i="7"/>
  <c r="AE14" i="7"/>
  <c r="AF14" i="7"/>
  <c r="AG14" i="7"/>
  <c r="AI14" i="7"/>
  <c r="AJ14" i="7"/>
  <c r="AK14" i="7"/>
  <c r="AM14" i="7"/>
  <c r="AN14" i="7"/>
  <c r="AO14" i="7"/>
  <c r="AP14" i="7"/>
  <c r="Q103" i="8"/>
  <c r="C3" i="6"/>
  <c r="D3" i="6"/>
  <c r="F3" i="6"/>
  <c r="G3" i="6"/>
  <c r="H3" i="6"/>
  <c r="I3" i="6"/>
  <c r="C4" i="6"/>
  <c r="D4" i="6"/>
  <c r="F4" i="6"/>
  <c r="G4" i="6"/>
  <c r="H4" i="6"/>
  <c r="I4" i="6"/>
  <c r="C5" i="6"/>
  <c r="D5" i="6"/>
  <c r="F5" i="6"/>
  <c r="G5" i="6"/>
  <c r="H5" i="6"/>
  <c r="I5" i="6"/>
  <c r="C6" i="6"/>
  <c r="D6" i="6"/>
  <c r="F6" i="6"/>
  <c r="G6" i="6"/>
  <c r="H6" i="6"/>
  <c r="I6" i="6"/>
  <c r="C7" i="6"/>
  <c r="D7" i="6"/>
  <c r="F7" i="6"/>
  <c r="G7" i="6"/>
  <c r="H7" i="6"/>
  <c r="I7" i="6"/>
  <c r="C8" i="6"/>
  <c r="D8" i="6"/>
  <c r="F8" i="6"/>
  <c r="G8" i="6"/>
  <c r="H8" i="6"/>
  <c r="I8" i="6"/>
  <c r="C9" i="6"/>
  <c r="D9" i="6"/>
  <c r="F9" i="6"/>
  <c r="G9" i="6"/>
  <c r="H9" i="6"/>
  <c r="I9" i="6"/>
  <c r="C10" i="6"/>
  <c r="D10" i="6"/>
  <c r="F10" i="6"/>
  <c r="G10" i="6"/>
  <c r="H10" i="6"/>
  <c r="I10" i="6"/>
  <c r="C11" i="6"/>
  <c r="D11" i="6"/>
  <c r="F11" i="6"/>
  <c r="G11" i="6"/>
  <c r="H11" i="6"/>
  <c r="I11" i="6"/>
  <c r="C12" i="6"/>
  <c r="D12" i="6"/>
  <c r="F12" i="6"/>
  <c r="G12" i="6"/>
  <c r="H12" i="6"/>
  <c r="I12" i="6"/>
  <c r="C13" i="6"/>
  <c r="D13" i="6"/>
  <c r="F13" i="6"/>
  <c r="G13" i="6"/>
  <c r="H13" i="6"/>
  <c r="I13" i="6"/>
  <c r="C14" i="6"/>
  <c r="D14" i="6"/>
  <c r="F14" i="6"/>
  <c r="G14" i="6"/>
  <c r="H14" i="6"/>
  <c r="I14" i="6"/>
  <c r="C15" i="6"/>
  <c r="D15" i="6"/>
  <c r="F15" i="6"/>
  <c r="G15" i="6"/>
  <c r="H15" i="6"/>
  <c r="I15" i="6"/>
  <c r="C16" i="6"/>
  <c r="D16" i="6"/>
  <c r="F16" i="6"/>
  <c r="G16" i="6"/>
  <c r="H16" i="6"/>
  <c r="I16" i="6"/>
  <c r="C17" i="6"/>
  <c r="D17" i="6"/>
  <c r="F17" i="6"/>
  <c r="G17" i="6"/>
  <c r="H17" i="6"/>
  <c r="I17" i="6"/>
  <c r="C18" i="6"/>
  <c r="D18" i="6"/>
  <c r="F18" i="6"/>
  <c r="G18" i="6"/>
  <c r="H18" i="6"/>
  <c r="I18" i="6"/>
  <c r="C19" i="6"/>
  <c r="D19" i="6"/>
  <c r="F19" i="6"/>
  <c r="G19" i="6"/>
  <c r="H19" i="6"/>
  <c r="I19" i="6"/>
  <c r="C20" i="6"/>
  <c r="D20" i="6"/>
  <c r="F20" i="6"/>
  <c r="G20" i="6"/>
  <c r="H20" i="6"/>
  <c r="I20" i="6"/>
  <c r="C21" i="6"/>
  <c r="D21" i="6"/>
  <c r="F21" i="6"/>
  <c r="G21" i="6"/>
  <c r="H21" i="6"/>
  <c r="I21" i="6"/>
  <c r="C22" i="6"/>
  <c r="D22" i="6"/>
  <c r="F22" i="6"/>
  <c r="G22" i="6"/>
  <c r="H22" i="6"/>
  <c r="I22" i="6"/>
  <c r="C23" i="6"/>
  <c r="D23" i="6"/>
  <c r="F23" i="6"/>
  <c r="G23" i="6"/>
  <c r="H23" i="6"/>
  <c r="I23" i="6"/>
  <c r="C24" i="6"/>
  <c r="D24" i="6"/>
  <c r="F24" i="6"/>
  <c r="G24" i="6"/>
  <c r="H24" i="6"/>
  <c r="I24" i="6"/>
  <c r="C25" i="6"/>
  <c r="D25" i="6"/>
  <c r="F25" i="6"/>
  <c r="G25" i="6"/>
  <c r="H25" i="6"/>
  <c r="I25" i="6"/>
  <c r="C26" i="6"/>
  <c r="D26" i="6"/>
  <c r="F26" i="6"/>
  <c r="G26" i="6"/>
  <c r="H26" i="6"/>
  <c r="I26" i="6"/>
  <c r="C27" i="6"/>
  <c r="D27" i="6"/>
  <c r="F27" i="6"/>
  <c r="G27" i="6"/>
  <c r="H27" i="6"/>
  <c r="I27" i="6"/>
  <c r="C28" i="6"/>
  <c r="D28" i="6"/>
  <c r="F28" i="6"/>
  <c r="G28" i="6"/>
  <c r="H28" i="6"/>
  <c r="I28" i="6"/>
  <c r="C29" i="6"/>
  <c r="D29" i="6"/>
  <c r="F29" i="6"/>
  <c r="G29" i="6"/>
  <c r="H29" i="6"/>
  <c r="I29" i="6"/>
  <c r="C30" i="6"/>
  <c r="D30" i="6"/>
  <c r="F30" i="6"/>
  <c r="G30" i="6"/>
  <c r="H30" i="6"/>
  <c r="I30" i="6"/>
  <c r="C31" i="6"/>
  <c r="D31" i="6"/>
  <c r="F31" i="6"/>
  <c r="G31" i="6"/>
  <c r="H31" i="6"/>
  <c r="I31" i="6"/>
  <c r="C32" i="6"/>
  <c r="D32" i="6"/>
  <c r="F32" i="6"/>
  <c r="G32" i="6"/>
  <c r="H32" i="6"/>
  <c r="I32" i="6"/>
  <c r="C33" i="6"/>
  <c r="D33" i="6"/>
  <c r="F33" i="6"/>
  <c r="G33" i="6"/>
  <c r="H33" i="6"/>
  <c r="I33" i="6"/>
  <c r="J33" i="6" s="1"/>
  <c r="K33" i="6" s="1"/>
  <c r="L33" i="6" s="1" a="1"/>
  <c r="L33" i="6" s="1"/>
  <c r="C34" i="6"/>
  <c r="D34" i="6"/>
  <c r="F34" i="6"/>
  <c r="G34" i="6"/>
  <c r="H34" i="6"/>
  <c r="I34" i="6"/>
  <c r="J34" i="6" s="1"/>
  <c r="C35" i="6"/>
  <c r="D35" i="6"/>
  <c r="F35" i="6"/>
  <c r="G35" i="6"/>
  <c r="H35" i="6"/>
  <c r="J35" i="6" s="1"/>
  <c r="K35" i="6" s="1"/>
  <c r="L35" i="6" s="1" a="1"/>
  <c r="L35" i="6" s="1"/>
  <c r="I35" i="6"/>
  <c r="C36" i="6"/>
  <c r="D36" i="6"/>
  <c r="F36" i="6"/>
  <c r="G36" i="6"/>
  <c r="H36" i="6"/>
  <c r="I36" i="6"/>
  <c r="C37" i="6"/>
  <c r="D37" i="6"/>
  <c r="F37" i="6"/>
  <c r="G37" i="6"/>
  <c r="H37" i="6"/>
  <c r="I37" i="6"/>
  <c r="J37" i="6"/>
  <c r="K37" i="6" s="1"/>
  <c r="L37" i="6" s="1" a="1"/>
  <c r="L37" i="6" s="1"/>
  <c r="C38" i="6"/>
  <c r="D38" i="6"/>
  <c r="F38" i="6"/>
  <c r="G38" i="6"/>
  <c r="H38" i="6"/>
  <c r="I38" i="6"/>
  <c r="C39" i="6"/>
  <c r="D39" i="6"/>
  <c r="F39" i="6"/>
  <c r="G39" i="6"/>
  <c r="H39" i="6"/>
  <c r="I39" i="6"/>
  <c r="J39" i="6"/>
  <c r="K39" i="6" s="1"/>
  <c r="L39" i="6" s="1" a="1"/>
  <c r="L39" i="6" s="1"/>
  <c r="C40" i="6"/>
  <c r="D40" i="6"/>
  <c r="F40" i="6"/>
  <c r="G40" i="6"/>
  <c r="H40" i="6"/>
  <c r="J40" i="6" s="1"/>
  <c r="K40" i="6" s="1"/>
  <c r="L40" i="6" s="1" a="1"/>
  <c r="L40" i="6" s="1"/>
  <c r="I40" i="6"/>
  <c r="C41" i="6"/>
  <c r="D41" i="6"/>
  <c r="F41" i="6"/>
  <c r="G41" i="6"/>
  <c r="H41" i="6"/>
  <c r="I41" i="6"/>
  <c r="C42" i="6"/>
  <c r="D42" i="6"/>
  <c r="F42" i="6"/>
  <c r="G42" i="6"/>
  <c r="H42" i="6"/>
  <c r="I42" i="6"/>
  <c r="J42" i="6" s="1"/>
  <c r="K42" i="6" s="1"/>
  <c r="L42" i="6" s="1" a="1"/>
  <c r="L42" i="6" s="1"/>
  <c r="C43" i="6"/>
  <c r="D43" i="6"/>
  <c r="F43" i="6"/>
  <c r="G43" i="6"/>
  <c r="H43" i="6"/>
  <c r="I43" i="6"/>
  <c r="J43" i="6"/>
  <c r="K43" i="6" s="1"/>
  <c r="L43" i="6" s="1" a="1"/>
  <c r="L43" i="6" s="1"/>
  <c r="C44" i="6"/>
  <c r="D44" i="6"/>
  <c r="F44" i="6"/>
  <c r="G44" i="6"/>
  <c r="H44" i="6"/>
  <c r="J44" i="6" s="1"/>
  <c r="K44" i="6" s="1"/>
  <c r="L44" i="6" s="1" a="1"/>
  <c r="L44" i="6" s="1"/>
  <c r="I44" i="6"/>
  <c r="C45" i="6"/>
  <c r="D45" i="6"/>
  <c r="F45" i="6"/>
  <c r="G45" i="6"/>
  <c r="H45" i="6"/>
  <c r="J45" i="6" s="1"/>
  <c r="K45" i="6" s="1"/>
  <c r="L45" i="6" s="1" a="1"/>
  <c r="L45" i="6" s="1"/>
  <c r="I45" i="6"/>
  <c r="C46" i="6"/>
  <c r="D46" i="6"/>
  <c r="F46" i="6"/>
  <c r="G46" i="6"/>
  <c r="H46" i="6"/>
  <c r="I46" i="6"/>
  <c r="J46" i="6" s="1"/>
  <c r="K46" i="6" s="1"/>
  <c r="L46" i="6" s="1" a="1"/>
  <c r="L46" i="6" s="1"/>
  <c r="C47" i="6"/>
  <c r="D47" i="6"/>
  <c r="F47" i="6"/>
  <c r="G47" i="6"/>
  <c r="H47" i="6"/>
  <c r="I47" i="6"/>
  <c r="C48" i="6"/>
  <c r="D48" i="6"/>
  <c r="F48" i="6"/>
  <c r="G48" i="6"/>
  <c r="H48" i="6"/>
  <c r="I48" i="6"/>
  <c r="J48" i="6" s="1"/>
  <c r="K48" i="6" s="1"/>
  <c r="L48" i="6" s="1" a="1"/>
  <c r="L48" i="6" s="1"/>
  <c r="C49" i="6"/>
  <c r="D49" i="6"/>
  <c r="F49" i="6"/>
  <c r="G49" i="6"/>
  <c r="H49" i="6"/>
  <c r="I49" i="6"/>
  <c r="J49" i="6" s="1"/>
  <c r="K49" i="6" s="1"/>
  <c r="L49" i="6" s="1" a="1"/>
  <c r="L49" i="6" s="1"/>
  <c r="C50" i="6"/>
  <c r="D50" i="6"/>
  <c r="F50" i="6"/>
  <c r="G50" i="6"/>
  <c r="H50" i="6"/>
  <c r="I50" i="6"/>
  <c r="J50" i="6" s="1"/>
  <c r="K50" i="6" s="1"/>
  <c r="L50" i="6" s="1" a="1"/>
  <c r="L50" i="6" s="1"/>
  <c r="C51" i="6"/>
  <c r="D51" i="6"/>
  <c r="F51" i="6"/>
  <c r="G51" i="6"/>
  <c r="H51" i="6"/>
  <c r="I51" i="6"/>
  <c r="C52" i="6"/>
  <c r="D52" i="6"/>
  <c r="F52" i="6"/>
  <c r="G52" i="6"/>
  <c r="H52" i="6"/>
  <c r="J52" i="6" s="1"/>
  <c r="K52" i="6" s="1"/>
  <c r="L52" i="6" s="1" a="1"/>
  <c r="L52" i="6" s="1"/>
  <c r="I52" i="6"/>
  <c r="C53" i="6"/>
  <c r="D53" i="6"/>
  <c r="F53" i="6"/>
  <c r="G53" i="6"/>
  <c r="H53" i="6"/>
  <c r="I53" i="6"/>
  <c r="J53" i="6" s="1"/>
  <c r="K53" i="6" s="1"/>
  <c r="L53" i="6" s="1" a="1"/>
  <c r="L53" i="6" s="1"/>
  <c r="C54" i="6"/>
  <c r="D54" i="6"/>
  <c r="F54" i="6"/>
  <c r="G54" i="6"/>
  <c r="H54" i="6"/>
  <c r="I54" i="6"/>
  <c r="C55" i="6"/>
  <c r="D55" i="6"/>
  <c r="F55" i="6"/>
  <c r="G55" i="6"/>
  <c r="H55" i="6"/>
  <c r="I55" i="6"/>
  <c r="J55" i="6"/>
  <c r="K55" i="6"/>
  <c r="L55" i="6" s="1" a="1"/>
  <c r="L55" i="6" s="1"/>
  <c r="C56" i="6"/>
  <c r="D56" i="6"/>
  <c r="F56" i="6"/>
  <c r="G56" i="6"/>
  <c r="H56" i="6"/>
  <c r="I56" i="6"/>
  <c r="J56" i="6" s="1"/>
  <c r="K56" i="6" s="1"/>
  <c r="L56" i="6" s="1" a="1"/>
  <c r="L56" i="6" s="1"/>
  <c r="C57" i="6"/>
  <c r="D57" i="6"/>
  <c r="F57" i="6"/>
  <c r="G57" i="6"/>
  <c r="H57" i="6"/>
  <c r="I57" i="6"/>
  <c r="J57" i="6" s="1"/>
  <c r="K57" i="6" s="1"/>
  <c r="L57" i="6" s="1" a="1"/>
  <c r="L57" i="6" s="1"/>
  <c r="C58" i="6"/>
  <c r="D58" i="6"/>
  <c r="F58" i="6"/>
  <c r="G58" i="6"/>
  <c r="H58" i="6"/>
  <c r="I58" i="6"/>
  <c r="J58" i="6"/>
  <c r="K58" i="6"/>
  <c r="L58" i="6" s="1" a="1"/>
  <c r="L58" i="6" s="1"/>
  <c r="C59" i="6"/>
  <c r="D59" i="6"/>
  <c r="F59" i="6"/>
  <c r="G59" i="6"/>
  <c r="H59" i="6"/>
  <c r="I59" i="6"/>
  <c r="J59" i="6" s="1"/>
  <c r="K59" i="6" s="1"/>
  <c r="L59" i="6" s="1" a="1"/>
  <c r="L59" i="6" s="1"/>
  <c r="C60" i="6"/>
  <c r="D60" i="6"/>
  <c r="F60" i="6"/>
  <c r="G60" i="6"/>
  <c r="H60" i="6"/>
  <c r="I60" i="6"/>
  <c r="J60" i="6" s="1"/>
  <c r="K60" i="6" s="1"/>
  <c r="L60" i="6" s="1" a="1"/>
  <c r="L60" i="6" s="1"/>
  <c r="C61" i="6"/>
  <c r="D61" i="6"/>
  <c r="F61" i="6"/>
  <c r="G61" i="6"/>
  <c r="H61" i="6"/>
  <c r="I61" i="6"/>
  <c r="J61" i="6" s="1"/>
  <c r="K61" i="6" s="1"/>
  <c r="L61" i="6" s="1" a="1"/>
  <c r="L61" i="6" s="1"/>
  <c r="C62" i="6"/>
  <c r="D62" i="6"/>
  <c r="F62" i="6"/>
  <c r="G62" i="6"/>
  <c r="H62" i="6"/>
  <c r="I62" i="6"/>
  <c r="J62" i="6" s="1"/>
  <c r="K62" i="6" s="1"/>
  <c r="L62" i="6" s="1" a="1"/>
  <c r="L62" i="6" s="1"/>
  <c r="C63" i="6"/>
  <c r="D63" i="6"/>
  <c r="F63" i="6"/>
  <c r="G63" i="6"/>
  <c r="H63" i="6"/>
  <c r="J63" i="6" s="1"/>
  <c r="K63" i="6" s="1"/>
  <c r="L63" i="6" s="1" a="1"/>
  <c r="L63" i="6" s="1"/>
  <c r="I63" i="6"/>
  <c r="C64" i="6"/>
  <c r="D64" i="6"/>
  <c r="F64" i="6"/>
  <c r="G64" i="6"/>
  <c r="H64" i="6"/>
  <c r="I64" i="6"/>
  <c r="J64" i="6" s="1"/>
  <c r="K64" i="6" s="1"/>
  <c r="L64" i="6" s="1" a="1"/>
  <c r="L64" i="6" s="1"/>
  <c r="C65" i="6"/>
  <c r="D65" i="6"/>
  <c r="F65" i="6"/>
  <c r="G65" i="6"/>
  <c r="H65" i="6"/>
  <c r="I65" i="6"/>
  <c r="J65" i="6" s="1"/>
  <c r="K65" i="6" s="1"/>
  <c r="L65" i="6" s="1" a="1"/>
  <c r="L65" i="6" s="1"/>
  <c r="C66" i="6"/>
  <c r="D66" i="6"/>
  <c r="F66" i="6"/>
  <c r="G66" i="6"/>
  <c r="H66" i="6"/>
  <c r="I66" i="6"/>
  <c r="J66" i="6" s="1"/>
  <c r="K66" i="6" s="1"/>
  <c r="L66" i="6" s="1" a="1"/>
  <c r="L66" i="6" s="1"/>
  <c r="C67" i="6"/>
  <c r="D67" i="6"/>
  <c r="F67" i="6"/>
  <c r="G67" i="6"/>
  <c r="H67" i="6"/>
  <c r="I67" i="6"/>
  <c r="J67" i="6"/>
  <c r="K67" i="6"/>
  <c r="L67" i="6" s="1" a="1"/>
  <c r="L67" i="6" s="1"/>
  <c r="C68" i="6"/>
  <c r="D68" i="6"/>
  <c r="F68" i="6"/>
  <c r="G68" i="6"/>
  <c r="H68" i="6"/>
  <c r="I68" i="6"/>
  <c r="J68" i="6" s="1"/>
  <c r="K68" i="6" s="1"/>
  <c r="L68" i="6" s="1" a="1"/>
  <c r="L68" i="6" s="1"/>
  <c r="C69" i="6"/>
  <c r="D69" i="6"/>
  <c r="F69" i="6"/>
  <c r="G69" i="6"/>
  <c r="H69" i="6"/>
  <c r="I69" i="6"/>
  <c r="J69" i="6" s="1"/>
  <c r="K69" i="6" s="1"/>
  <c r="L69" i="6" s="1" a="1"/>
  <c r="L69" i="6" s="1"/>
  <c r="C70" i="6"/>
  <c r="D70" i="6"/>
  <c r="F70" i="6"/>
  <c r="G70" i="6"/>
  <c r="H70" i="6"/>
  <c r="I70" i="6"/>
  <c r="J70" i="6"/>
  <c r="K70" i="6"/>
  <c r="L70" i="6" s="1" a="1"/>
  <c r="L70" i="6" s="1"/>
  <c r="C71" i="6"/>
  <c r="D71" i="6"/>
  <c r="F71" i="6"/>
  <c r="G71" i="6"/>
  <c r="H71" i="6"/>
  <c r="I71" i="6"/>
  <c r="J71" i="6" s="1"/>
  <c r="K71" i="6" s="1"/>
  <c r="L71" i="6" s="1" a="1"/>
  <c r="L71" i="6" s="1"/>
  <c r="C72" i="6"/>
  <c r="D72" i="6"/>
  <c r="F72" i="6"/>
  <c r="G72" i="6"/>
  <c r="H72" i="6"/>
  <c r="I72" i="6"/>
  <c r="J72" i="6" s="1"/>
  <c r="K72" i="6" s="1"/>
  <c r="L72" i="6" s="1" a="1"/>
  <c r="L72" i="6" s="1"/>
  <c r="C73" i="6"/>
  <c r="D73" i="6"/>
  <c r="F73" i="6"/>
  <c r="G73" i="6"/>
  <c r="H73" i="6"/>
  <c r="I73" i="6"/>
  <c r="J73" i="6"/>
  <c r="K73" i="6"/>
  <c r="L73" i="6" s="1" a="1"/>
  <c r="L73" i="6" s="1"/>
  <c r="C74" i="6"/>
  <c r="D74" i="6"/>
  <c r="F74" i="6"/>
  <c r="G74" i="6"/>
  <c r="H74" i="6"/>
  <c r="I74" i="6"/>
  <c r="J74" i="6"/>
  <c r="K74" i="6"/>
  <c r="L74" i="6" s="1" a="1"/>
  <c r="L74" i="6" s="1"/>
  <c r="C75" i="6"/>
  <c r="D75" i="6"/>
  <c r="F75" i="6"/>
  <c r="G75" i="6"/>
  <c r="H75" i="6"/>
  <c r="I75" i="6"/>
  <c r="J75" i="6"/>
  <c r="K75" i="6"/>
  <c r="L75" i="6" s="1" a="1"/>
  <c r="L75" i="6" s="1"/>
  <c r="C76" i="6"/>
  <c r="D76" i="6"/>
  <c r="F76" i="6"/>
  <c r="G76" i="6"/>
  <c r="H76" i="6"/>
  <c r="I76" i="6"/>
  <c r="J76" i="6"/>
  <c r="K76" i="6"/>
  <c r="L76" i="6" s="1" a="1"/>
  <c r="L76" i="6" s="1"/>
  <c r="C77" i="6"/>
  <c r="D77" i="6"/>
  <c r="F77" i="6"/>
  <c r="G77" i="6"/>
  <c r="H77" i="6"/>
  <c r="I77" i="6"/>
  <c r="J77" i="6" s="1"/>
  <c r="K77" i="6" s="1"/>
  <c r="L77" i="6" s="1" a="1"/>
  <c r="L77" i="6" s="1"/>
  <c r="C78" i="6"/>
  <c r="D78" i="6"/>
  <c r="F78" i="6"/>
  <c r="G78" i="6"/>
  <c r="H78" i="6"/>
  <c r="I78" i="6"/>
  <c r="J78" i="6" s="1"/>
  <c r="K78" i="6" s="1"/>
  <c r="L78" i="6" s="1" a="1"/>
  <c r="L78" i="6" s="1"/>
  <c r="C79" i="6"/>
  <c r="D79" i="6"/>
  <c r="F79" i="6"/>
  <c r="G79" i="6"/>
  <c r="H79" i="6"/>
  <c r="I79" i="6"/>
  <c r="J79" i="6" s="1"/>
  <c r="K79" i="6" s="1"/>
  <c r="L79" i="6" s="1" a="1"/>
  <c r="L79" i="6" s="1"/>
  <c r="C80" i="6"/>
  <c r="D80" i="6"/>
  <c r="F80" i="6"/>
  <c r="G80" i="6"/>
  <c r="H80" i="6"/>
  <c r="I80" i="6"/>
  <c r="J80" i="6"/>
  <c r="K80" i="6"/>
  <c r="L80" i="6" s="1" a="1"/>
  <c r="L80" i="6" s="1"/>
  <c r="C81" i="6"/>
  <c r="D81" i="6"/>
  <c r="F81" i="6"/>
  <c r="G81" i="6"/>
  <c r="H81" i="6"/>
  <c r="I81" i="6"/>
  <c r="J81" i="6" s="1"/>
  <c r="K81" i="6" s="1"/>
  <c r="L81" i="6" s="1" a="1"/>
  <c r="L81" i="6" s="1"/>
  <c r="C82" i="6"/>
  <c r="D82" i="6"/>
  <c r="F82" i="6"/>
  <c r="G82" i="6"/>
  <c r="H82" i="6"/>
  <c r="I82" i="6"/>
  <c r="J82" i="6" s="1"/>
  <c r="K82" i="6" s="1"/>
  <c r="L82" i="6" s="1" a="1"/>
  <c r="L82" i="6" s="1"/>
  <c r="C83" i="6"/>
  <c r="D83" i="6"/>
  <c r="F83" i="6"/>
  <c r="G83" i="6"/>
  <c r="H83" i="6"/>
  <c r="I83" i="6"/>
  <c r="J83" i="6"/>
  <c r="K83" i="6"/>
  <c r="L83" i="6" s="1" a="1"/>
  <c r="L83" i="6" s="1"/>
  <c r="C84" i="6"/>
  <c r="D84" i="6"/>
  <c r="F84" i="6"/>
  <c r="G84" i="6"/>
  <c r="H84" i="6"/>
  <c r="I84" i="6"/>
  <c r="C85" i="6"/>
  <c r="D85" i="6"/>
  <c r="F85" i="6"/>
  <c r="G85" i="6"/>
  <c r="H85" i="6"/>
  <c r="I85" i="6"/>
  <c r="J85" i="6"/>
  <c r="K85" i="6"/>
  <c r="L85" i="6" s="1" a="1"/>
  <c r="L85" i="6" s="1"/>
  <c r="C86" i="6"/>
  <c r="D86" i="6"/>
  <c r="F86" i="6"/>
  <c r="G86" i="6"/>
  <c r="H86" i="6"/>
  <c r="I86" i="6"/>
  <c r="J86" i="6" s="1"/>
  <c r="K86" i="6" s="1"/>
  <c r="L86" i="6" s="1" a="1"/>
  <c r="L86" i="6" s="1"/>
  <c r="C87" i="6"/>
  <c r="D87" i="6"/>
  <c r="F87" i="6"/>
  <c r="G87" i="6"/>
  <c r="H87" i="6"/>
  <c r="I87" i="6"/>
  <c r="J87" i="6" s="1"/>
  <c r="K87" i="6" s="1"/>
  <c r="L87" i="6" s="1" a="1"/>
  <c r="L87" i="6" s="1"/>
  <c r="C88" i="6"/>
  <c r="D88" i="6"/>
  <c r="F88" i="6"/>
  <c r="G88" i="6"/>
  <c r="H88" i="6"/>
  <c r="I88" i="6"/>
  <c r="J88" i="6"/>
  <c r="K88" i="6"/>
  <c r="L88" i="6" s="1" a="1"/>
  <c r="L88" i="6" s="1"/>
  <c r="C89" i="6"/>
  <c r="D89" i="6"/>
  <c r="F89" i="6"/>
  <c r="G89" i="6"/>
  <c r="H89" i="6"/>
  <c r="I89" i="6"/>
  <c r="J89" i="6" s="1"/>
  <c r="K89" i="6" s="1"/>
  <c r="L89" i="6" s="1" a="1"/>
  <c r="L89" i="6" s="1"/>
  <c r="C90" i="6"/>
  <c r="D90" i="6"/>
  <c r="F90" i="6"/>
  <c r="G90" i="6"/>
  <c r="H90" i="6"/>
  <c r="I90" i="6"/>
  <c r="J90" i="6" s="1"/>
  <c r="K90" i="6" s="1"/>
  <c r="L90" i="6" s="1" a="1"/>
  <c r="L90" i="6" s="1"/>
  <c r="C91" i="6"/>
  <c r="D91" i="6"/>
  <c r="F91" i="6"/>
  <c r="G91" i="6"/>
  <c r="H91" i="6"/>
  <c r="I91" i="6"/>
  <c r="J91" i="6" s="1"/>
  <c r="K91" i="6" s="1"/>
  <c r="L91" i="6" s="1" a="1"/>
  <c r="L91" i="6" s="1"/>
  <c r="C92" i="6"/>
  <c r="D92" i="6"/>
  <c r="F92" i="6"/>
  <c r="G92" i="6"/>
  <c r="H92" i="6"/>
  <c r="I92" i="6"/>
  <c r="J92" i="6"/>
  <c r="K92" i="6"/>
  <c r="L92" i="6" s="1" a="1"/>
  <c r="L92" i="6" s="1"/>
  <c r="C93" i="6"/>
  <c r="D93" i="6"/>
  <c r="F93" i="6"/>
  <c r="G93" i="6"/>
  <c r="H93" i="6"/>
  <c r="I93" i="6"/>
  <c r="J93" i="6" s="1"/>
  <c r="K93" i="6" s="1"/>
  <c r="L93" i="6" s="1" a="1"/>
  <c r="L93" i="6" s="1"/>
  <c r="C94" i="6"/>
  <c r="D94" i="6"/>
  <c r="F94" i="6"/>
  <c r="G94" i="6"/>
  <c r="H94" i="6"/>
  <c r="I94" i="6"/>
  <c r="J94" i="6" s="1"/>
  <c r="K94" i="6" s="1"/>
  <c r="L94" i="6" s="1" a="1"/>
  <c r="L94" i="6" s="1"/>
  <c r="C95" i="6"/>
  <c r="D95" i="6"/>
  <c r="F95" i="6"/>
  <c r="G95" i="6"/>
  <c r="H95" i="6"/>
  <c r="I95" i="6"/>
  <c r="J95" i="6"/>
  <c r="K95" i="6"/>
  <c r="L95" i="6" s="1" a="1"/>
  <c r="L95" i="6" s="1"/>
  <c r="C96" i="6"/>
  <c r="D96" i="6"/>
  <c r="F96" i="6"/>
  <c r="G96" i="6"/>
  <c r="H96" i="6"/>
  <c r="I96" i="6"/>
  <c r="J96" i="6" s="1"/>
  <c r="K96" i="6" s="1"/>
  <c r="L96" i="6" s="1" a="1"/>
  <c r="L96" i="6" s="1"/>
  <c r="C97" i="6"/>
  <c r="D97" i="6"/>
  <c r="F97" i="6"/>
  <c r="G97" i="6"/>
  <c r="H97" i="6"/>
  <c r="I97" i="6"/>
  <c r="J97" i="6"/>
  <c r="K97" i="6"/>
  <c r="L97" i="6" s="1" a="1"/>
  <c r="L97" i="6" s="1"/>
  <c r="C98" i="6"/>
  <c r="D98" i="6"/>
  <c r="F98" i="6"/>
  <c r="G98" i="6"/>
  <c r="H98" i="6"/>
  <c r="I98" i="6"/>
  <c r="J98" i="6"/>
  <c r="K98" i="6"/>
  <c r="L98" i="6" s="1" a="1"/>
  <c r="L98" i="6" s="1"/>
  <c r="C99" i="6"/>
  <c r="D99" i="6"/>
  <c r="F99" i="6"/>
  <c r="G99" i="6"/>
  <c r="H99" i="6"/>
  <c r="I99" i="6"/>
  <c r="J99" i="6"/>
  <c r="K99" i="6"/>
  <c r="L99" i="6" s="1" a="1"/>
  <c r="L99" i="6" s="1"/>
  <c r="C100" i="6"/>
  <c r="D100" i="6"/>
  <c r="F100" i="6"/>
  <c r="G100" i="6"/>
  <c r="H100" i="6"/>
  <c r="I100" i="6"/>
  <c r="J100" i="6"/>
  <c r="K100" i="6"/>
  <c r="L100" i="6" s="1" a="1"/>
  <c r="L100" i="6" s="1"/>
  <c r="C101" i="6"/>
  <c r="D101" i="6"/>
  <c r="F101" i="6"/>
  <c r="G101" i="6"/>
  <c r="H101" i="6"/>
  <c r="I101" i="6"/>
  <c r="J101" i="6" s="1"/>
  <c r="K101" i="6" s="1"/>
  <c r="L101" i="6" s="1" a="1"/>
  <c r="L101" i="6" s="1"/>
  <c r="C102" i="6"/>
  <c r="D102" i="6"/>
  <c r="F102" i="6"/>
  <c r="G102" i="6"/>
  <c r="H102" i="6"/>
  <c r="I102" i="6"/>
  <c r="J102" i="6"/>
  <c r="K102" i="6"/>
  <c r="L102" i="6" s="1" a="1"/>
  <c r="L102" i="6" s="1"/>
  <c r="C103" i="6"/>
  <c r="D103" i="6"/>
  <c r="F103" i="6"/>
  <c r="G103" i="6"/>
  <c r="H103" i="6"/>
  <c r="I103" i="6"/>
  <c r="J103" i="6" s="1"/>
  <c r="K103" i="6" s="1"/>
  <c r="L103" i="6" s="1" a="1"/>
  <c r="L103" i="6" s="1"/>
  <c r="C104" i="6"/>
  <c r="D104" i="6"/>
  <c r="F104" i="6"/>
  <c r="G104" i="6"/>
  <c r="H104" i="6"/>
  <c r="I104" i="6"/>
  <c r="J104" i="6" s="1"/>
  <c r="K104" i="6" s="1"/>
  <c r="L104" i="6" s="1" a="1"/>
  <c r="L104" i="6" s="1"/>
  <c r="C105" i="6"/>
  <c r="D105" i="6"/>
  <c r="F105" i="6"/>
  <c r="G105" i="6"/>
  <c r="H105" i="6"/>
  <c r="I105" i="6"/>
  <c r="J105" i="6"/>
  <c r="K105" i="6"/>
  <c r="L105" i="6" s="1" a="1"/>
  <c r="L105" i="6" s="1"/>
  <c r="C106" i="6"/>
  <c r="D106" i="6"/>
  <c r="F106" i="6"/>
  <c r="G106" i="6"/>
  <c r="H106" i="6"/>
  <c r="I106" i="6"/>
  <c r="J106" i="6" s="1"/>
  <c r="K106" i="6" s="1"/>
  <c r="L106" i="6" s="1" a="1"/>
  <c r="L106" i="6" s="1"/>
  <c r="C107" i="6"/>
  <c r="D107" i="6"/>
  <c r="F107" i="6"/>
  <c r="G107" i="6"/>
  <c r="H107" i="6"/>
  <c r="I107" i="6"/>
  <c r="J107" i="6" s="1"/>
  <c r="K107" i="6" s="1"/>
  <c r="L107" i="6" s="1" a="1"/>
  <c r="L107" i="6" s="1"/>
  <c r="C108" i="6"/>
  <c r="D108" i="6"/>
  <c r="F108" i="6"/>
  <c r="G108" i="6"/>
  <c r="H108" i="6"/>
  <c r="I108" i="6"/>
  <c r="J108" i="6" s="1"/>
  <c r="K108" i="6" s="1"/>
  <c r="L108" i="6" s="1" a="1"/>
  <c r="L108" i="6" s="1"/>
  <c r="C109" i="6"/>
  <c r="D109" i="6"/>
  <c r="F109" i="6"/>
  <c r="G109" i="6"/>
  <c r="H109" i="6"/>
  <c r="I109" i="6"/>
  <c r="J109" i="6" s="1"/>
  <c r="K109" i="6" s="1"/>
  <c r="L109" i="6" s="1" a="1"/>
  <c r="L109" i="6" s="1"/>
  <c r="C110" i="6"/>
  <c r="D110" i="6"/>
  <c r="F110" i="6"/>
  <c r="G110" i="6"/>
  <c r="H110" i="6"/>
  <c r="I110" i="6"/>
  <c r="J110" i="6"/>
  <c r="K110" i="6"/>
  <c r="L110" i="6" s="1" a="1"/>
  <c r="L110" i="6" s="1"/>
  <c r="C111" i="6"/>
  <c r="D111" i="6"/>
  <c r="F111" i="6"/>
  <c r="G111" i="6"/>
  <c r="H111" i="6"/>
  <c r="I111" i="6"/>
  <c r="J111" i="6" s="1"/>
  <c r="K111" i="6" s="1"/>
  <c r="L111" i="6" s="1" a="1"/>
  <c r="L111" i="6" s="1"/>
  <c r="C112" i="6"/>
  <c r="D112" i="6"/>
  <c r="F112" i="6"/>
  <c r="G112" i="6"/>
  <c r="H112" i="6"/>
  <c r="I112" i="6"/>
  <c r="J112" i="6" s="1"/>
  <c r="K112" i="6" s="1"/>
  <c r="L112" i="6" s="1" a="1"/>
  <c r="L112" i="6" s="1"/>
  <c r="C113" i="6"/>
  <c r="D113" i="6"/>
  <c r="F113" i="6"/>
  <c r="G113" i="6"/>
  <c r="H113" i="6"/>
  <c r="I113" i="6"/>
  <c r="J113" i="6" s="1"/>
  <c r="K113" i="6" s="1"/>
  <c r="L113" i="6" s="1" a="1"/>
  <c r="L113" i="6" s="1"/>
  <c r="C3" i="5"/>
  <c r="D3" i="5"/>
  <c r="F3" i="5"/>
  <c r="G3" i="5"/>
  <c r="H3" i="5"/>
  <c r="I3" i="5"/>
  <c r="C4" i="5"/>
  <c r="D4" i="5"/>
  <c r="F4" i="5"/>
  <c r="G4" i="5"/>
  <c r="H4" i="5"/>
  <c r="I4" i="5"/>
  <c r="C5" i="5"/>
  <c r="D5" i="5"/>
  <c r="F5" i="5"/>
  <c r="G5" i="5"/>
  <c r="H5" i="5"/>
  <c r="I5" i="5"/>
  <c r="C6" i="5"/>
  <c r="D6" i="5"/>
  <c r="F6" i="5"/>
  <c r="G6" i="5"/>
  <c r="H6" i="5"/>
  <c r="I6" i="5"/>
  <c r="C7" i="5"/>
  <c r="D7" i="5"/>
  <c r="F7" i="5"/>
  <c r="G7" i="5"/>
  <c r="H7" i="5"/>
  <c r="I7" i="5"/>
  <c r="C8" i="5"/>
  <c r="D8" i="5"/>
  <c r="F8" i="5"/>
  <c r="G8" i="5"/>
  <c r="H8" i="5"/>
  <c r="I8" i="5"/>
  <c r="C9" i="5"/>
  <c r="D9" i="5"/>
  <c r="F9" i="5"/>
  <c r="G9" i="5"/>
  <c r="H9" i="5"/>
  <c r="I9" i="5"/>
  <c r="C10" i="5"/>
  <c r="D10" i="5"/>
  <c r="F10" i="5"/>
  <c r="G10" i="5"/>
  <c r="H10" i="5"/>
  <c r="I10" i="5"/>
  <c r="C11" i="5"/>
  <c r="D11" i="5"/>
  <c r="F11" i="5"/>
  <c r="G11" i="5"/>
  <c r="H11" i="5"/>
  <c r="I11" i="5"/>
  <c r="C12" i="5"/>
  <c r="D12" i="5"/>
  <c r="F12" i="5"/>
  <c r="G12" i="5"/>
  <c r="H12" i="5"/>
  <c r="I12" i="5"/>
  <c r="C13" i="5"/>
  <c r="D13" i="5"/>
  <c r="F13" i="5"/>
  <c r="G13" i="5"/>
  <c r="H13" i="5"/>
  <c r="I13" i="5"/>
  <c r="C14" i="5"/>
  <c r="D14" i="5"/>
  <c r="F14" i="5"/>
  <c r="G14" i="5"/>
  <c r="H14" i="5"/>
  <c r="I14" i="5"/>
  <c r="C15" i="5"/>
  <c r="D15" i="5"/>
  <c r="F15" i="5"/>
  <c r="G15" i="5"/>
  <c r="H15" i="5"/>
  <c r="I15" i="5"/>
  <c r="C16" i="5"/>
  <c r="D16" i="5"/>
  <c r="F16" i="5"/>
  <c r="G16" i="5"/>
  <c r="H16" i="5"/>
  <c r="I16" i="5"/>
  <c r="C17" i="5"/>
  <c r="D17" i="5"/>
  <c r="F17" i="5"/>
  <c r="G17" i="5"/>
  <c r="H17" i="5"/>
  <c r="I17" i="5"/>
  <c r="C18" i="5"/>
  <c r="D18" i="5"/>
  <c r="F18" i="5"/>
  <c r="G18" i="5"/>
  <c r="H18" i="5"/>
  <c r="I18" i="5"/>
  <c r="C19" i="5"/>
  <c r="D19" i="5"/>
  <c r="F19" i="5"/>
  <c r="G19" i="5"/>
  <c r="H19" i="5"/>
  <c r="I19" i="5"/>
  <c r="C20" i="5"/>
  <c r="D20" i="5"/>
  <c r="F20" i="5"/>
  <c r="G20" i="5"/>
  <c r="H20" i="5"/>
  <c r="I20" i="5"/>
  <c r="C21" i="5"/>
  <c r="D21" i="5"/>
  <c r="F21" i="5"/>
  <c r="G21" i="5"/>
  <c r="H21" i="5"/>
  <c r="I21" i="5"/>
  <c r="C22" i="5"/>
  <c r="D22" i="5"/>
  <c r="F22" i="5"/>
  <c r="G22" i="5"/>
  <c r="H22" i="5"/>
  <c r="I22" i="5"/>
  <c r="C23" i="5"/>
  <c r="D23" i="5"/>
  <c r="F23" i="5"/>
  <c r="G23" i="5"/>
  <c r="H23" i="5"/>
  <c r="I23" i="5"/>
  <c r="C24" i="5"/>
  <c r="D24" i="5"/>
  <c r="F24" i="5"/>
  <c r="G24" i="5"/>
  <c r="H24" i="5"/>
  <c r="I24" i="5"/>
  <c r="C25" i="5"/>
  <c r="D25" i="5"/>
  <c r="F25" i="5"/>
  <c r="G25" i="5"/>
  <c r="H25" i="5"/>
  <c r="I25" i="5"/>
  <c r="C26" i="5"/>
  <c r="D26" i="5"/>
  <c r="F26" i="5"/>
  <c r="G26" i="5"/>
  <c r="H26" i="5"/>
  <c r="I26" i="5"/>
  <c r="C27" i="5"/>
  <c r="D27" i="5"/>
  <c r="F27" i="5"/>
  <c r="G27" i="5"/>
  <c r="H27" i="5"/>
  <c r="I27" i="5"/>
  <c r="C28" i="5"/>
  <c r="D28" i="5"/>
  <c r="F28" i="5"/>
  <c r="G28" i="5"/>
  <c r="H28" i="5"/>
  <c r="I28" i="5"/>
  <c r="C29" i="5"/>
  <c r="D29" i="5"/>
  <c r="F29" i="5"/>
  <c r="G29" i="5"/>
  <c r="H29" i="5"/>
  <c r="I29" i="5"/>
  <c r="C30" i="5"/>
  <c r="D30" i="5"/>
  <c r="F30" i="5"/>
  <c r="G30" i="5"/>
  <c r="H30" i="5"/>
  <c r="I30" i="5"/>
  <c r="C31" i="5"/>
  <c r="D31" i="5"/>
  <c r="F31" i="5"/>
  <c r="G31" i="5"/>
  <c r="H31" i="5"/>
  <c r="I31" i="5"/>
  <c r="C32" i="5"/>
  <c r="D32" i="5"/>
  <c r="F32" i="5"/>
  <c r="G32" i="5"/>
  <c r="H32" i="5"/>
  <c r="I32" i="5"/>
  <c r="C33" i="5"/>
  <c r="D33" i="5"/>
  <c r="F33" i="5"/>
  <c r="G33" i="5"/>
  <c r="H33" i="5"/>
  <c r="I33" i="5"/>
  <c r="C34" i="5"/>
  <c r="D34" i="5"/>
  <c r="F34" i="5"/>
  <c r="G34" i="5"/>
  <c r="H34" i="5"/>
  <c r="I34" i="5"/>
  <c r="C35" i="5"/>
  <c r="D35" i="5"/>
  <c r="F35" i="5"/>
  <c r="G35" i="5"/>
  <c r="H35" i="5"/>
  <c r="I35" i="5"/>
  <c r="J35" i="5"/>
  <c r="K35" i="5"/>
  <c r="L35" i="5" s="1" a="1"/>
  <c r="L35" i="5" s="1"/>
  <c r="C36" i="5"/>
  <c r="D36" i="5"/>
  <c r="F36" i="5"/>
  <c r="G36" i="5"/>
  <c r="H36" i="5"/>
  <c r="I36" i="5"/>
  <c r="C37" i="5"/>
  <c r="D37" i="5"/>
  <c r="F37" i="5"/>
  <c r="G37" i="5"/>
  <c r="H37" i="5"/>
  <c r="I37" i="5"/>
  <c r="J37" i="5" s="1"/>
  <c r="K37" i="5" s="1"/>
  <c r="L37" i="5" s="1" a="1"/>
  <c r="L37" i="5" s="1"/>
  <c r="C38" i="5"/>
  <c r="D38" i="5"/>
  <c r="F38" i="5"/>
  <c r="G38" i="5"/>
  <c r="H38" i="5"/>
  <c r="I38" i="5"/>
  <c r="C39" i="5"/>
  <c r="D39" i="5"/>
  <c r="F39" i="5"/>
  <c r="G39" i="5"/>
  <c r="H39" i="5"/>
  <c r="I39" i="5"/>
  <c r="C40" i="5"/>
  <c r="D40" i="5"/>
  <c r="F40" i="5"/>
  <c r="G40" i="5"/>
  <c r="H40" i="5"/>
  <c r="I40" i="5"/>
  <c r="J40" i="5"/>
  <c r="K40" i="5" s="1"/>
  <c r="L40" i="5" s="1" a="1"/>
  <c r="L40" i="5" s="1"/>
  <c r="C41" i="5"/>
  <c r="D41" i="5"/>
  <c r="F41" i="5"/>
  <c r="G41" i="5"/>
  <c r="H41" i="5"/>
  <c r="I41" i="5"/>
  <c r="C42" i="5"/>
  <c r="D42" i="5"/>
  <c r="F42" i="5"/>
  <c r="G42" i="5"/>
  <c r="H42" i="5"/>
  <c r="I42" i="5"/>
  <c r="C43" i="5"/>
  <c r="D43" i="5"/>
  <c r="F43" i="5"/>
  <c r="G43" i="5"/>
  <c r="H43" i="5"/>
  <c r="I43" i="5"/>
  <c r="J43" i="5" s="1"/>
  <c r="K43" i="5" s="1"/>
  <c r="L43" i="5" s="1" a="1"/>
  <c r="L43" i="5" s="1"/>
  <c r="C44" i="5"/>
  <c r="D44" i="5"/>
  <c r="F44" i="5"/>
  <c r="G44" i="5"/>
  <c r="H44" i="5"/>
  <c r="I44" i="5"/>
  <c r="C45" i="5"/>
  <c r="D45" i="5"/>
  <c r="F45" i="5"/>
  <c r="G45" i="5"/>
  <c r="H45" i="5"/>
  <c r="I45" i="5"/>
  <c r="J45" i="5" s="1"/>
  <c r="K45" i="5" s="1"/>
  <c r="L45" i="5" s="1" a="1"/>
  <c r="L45" i="5" s="1"/>
  <c r="C46" i="5"/>
  <c r="D46" i="5"/>
  <c r="F46" i="5"/>
  <c r="G46" i="5"/>
  <c r="H46" i="5"/>
  <c r="I46" i="5"/>
  <c r="J46" i="5" s="1"/>
  <c r="K46" i="5" s="1"/>
  <c r="L46" i="5" s="1" a="1"/>
  <c r="L46" i="5" s="1"/>
  <c r="C47" i="5"/>
  <c r="D47" i="5"/>
  <c r="F47" i="5"/>
  <c r="G47" i="5"/>
  <c r="H47" i="5"/>
  <c r="I47" i="5"/>
  <c r="J47" i="5"/>
  <c r="K47" i="5"/>
  <c r="L47" i="5" s="1" a="1"/>
  <c r="L47" i="5" s="1"/>
  <c r="C48" i="5"/>
  <c r="D48" i="5"/>
  <c r="F48" i="5"/>
  <c r="G48" i="5"/>
  <c r="H48" i="5"/>
  <c r="I48" i="5"/>
  <c r="C49" i="5"/>
  <c r="D49" i="5"/>
  <c r="F49" i="5"/>
  <c r="G49" i="5"/>
  <c r="H49" i="5"/>
  <c r="I49" i="5"/>
  <c r="J49" i="5" s="1"/>
  <c r="K49" i="5" s="1"/>
  <c r="L49" i="5" s="1" a="1"/>
  <c r="L49" i="5" s="1"/>
  <c r="C50" i="5"/>
  <c r="D50" i="5"/>
  <c r="F50" i="5"/>
  <c r="G50" i="5"/>
  <c r="H50" i="5"/>
  <c r="I50" i="5"/>
  <c r="J50" i="5"/>
  <c r="K50" i="5" s="1"/>
  <c r="L50" i="5" s="1" a="1"/>
  <c r="L50" i="5" s="1"/>
  <c r="C51" i="5"/>
  <c r="D51" i="5"/>
  <c r="F51" i="5"/>
  <c r="G51" i="5"/>
  <c r="H51" i="5"/>
  <c r="I51" i="5"/>
  <c r="J51" i="5" s="1"/>
  <c r="K51" i="5" s="1"/>
  <c r="L51" i="5" s="1" a="1"/>
  <c r="L51" i="5" s="1"/>
  <c r="C52" i="5"/>
  <c r="D52" i="5"/>
  <c r="F52" i="5"/>
  <c r="G52" i="5"/>
  <c r="H52" i="5"/>
  <c r="I52" i="5"/>
  <c r="J52" i="5"/>
  <c r="K52" i="5" s="1"/>
  <c r="L52" i="5" s="1" a="1"/>
  <c r="L52" i="5" s="1"/>
  <c r="C53" i="5"/>
  <c r="D53" i="5"/>
  <c r="F53" i="5"/>
  <c r="G53" i="5"/>
  <c r="H53" i="5"/>
  <c r="I53" i="5"/>
  <c r="J53" i="5"/>
  <c r="K53" i="5" s="1"/>
  <c r="L53" i="5" s="1" a="1"/>
  <c r="L53" i="5" s="1"/>
  <c r="C54" i="5"/>
  <c r="D54" i="5"/>
  <c r="F54" i="5"/>
  <c r="G54" i="5"/>
  <c r="H54" i="5"/>
  <c r="I54" i="5"/>
  <c r="C55" i="5"/>
  <c r="D55" i="5"/>
  <c r="F55" i="5"/>
  <c r="G55" i="5"/>
  <c r="H55" i="5"/>
  <c r="I55" i="5"/>
  <c r="C56" i="5"/>
  <c r="D56" i="5"/>
  <c r="F56" i="5"/>
  <c r="G56" i="5"/>
  <c r="H56" i="5"/>
  <c r="I56" i="5"/>
  <c r="J56" i="5" s="1"/>
  <c r="K56" i="5" s="1"/>
  <c r="L56" i="5" s="1" a="1"/>
  <c r="L56" i="5" s="1"/>
  <c r="C57" i="5"/>
  <c r="D57" i="5"/>
  <c r="F57" i="5"/>
  <c r="G57" i="5"/>
  <c r="H57" i="5"/>
  <c r="I57" i="5"/>
  <c r="J57" i="5"/>
  <c r="K57" i="5"/>
  <c r="L57" i="5" s="1" a="1"/>
  <c r="L57" i="5" s="1"/>
  <c r="C58" i="5"/>
  <c r="D58" i="5"/>
  <c r="F58" i="5"/>
  <c r="G58" i="5"/>
  <c r="H58" i="5"/>
  <c r="I58" i="5"/>
  <c r="J58" i="5"/>
  <c r="K58" i="5" s="1"/>
  <c r="L58" i="5" s="1" a="1"/>
  <c r="L58" i="5" s="1"/>
  <c r="C59" i="5"/>
  <c r="D59" i="5"/>
  <c r="F59" i="5"/>
  <c r="G59" i="5"/>
  <c r="H59" i="5"/>
  <c r="I59" i="5"/>
  <c r="J59" i="5" s="1"/>
  <c r="K59" i="5" s="1"/>
  <c r="L59" i="5" s="1" a="1"/>
  <c r="L59" i="5" s="1"/>
  <c r="C60" i="5"/>
  <c r="D60" i="5"/>
  <c r="F60" i="5"/>
  <c r="G60" i="5"/>
  <c r="H60" i="5"/>
  <c r="I60" i="5"/>
  <c r="J60" i="5" s="1"/>
  <c r="K60" i="5" s="1"/>
  <c r="L60" i="5" s="1" a="1"/>
  <c r="L60" i="5" s="1"/>
  <c r="C61" i="5"/>
  <c r="D61" i="5"/>
  <c r="F61" i="5"/>
  <c r="G61" i="5"/>
  <c r="H61" i="5"/>
  <c r="I61" i="5"/>
  <c r="J61" i="5" s="1"/>
  <c r="K61" i="5" s="1"/>
  <c r="L61" i="5" s="1" a="1"/>
  <c r="L61" i="5" s="1"/>
  <c r="C62" i="5"/>
  <c r="D62" i="5"/>
  <c r="F62" i="5"/>
  <c r="G62" i="5"/>
  <c r="H62" i="5"/>
  <c r="I62" i="5"/>
  <c r="J62" i="5" s="1"/>
  <c r="K62" i="5" s="1"/>
  <c r="L62" i="5" s="1" a="1"/>
  <c r="L62" i="5" s="1"/>
  <c r="C63" i="5"/>
  <c r="D63" i="5"/>
  <c r="F63" i="5"/>
  <c r="G63" i="5"/>
  <c r="H63" i="5"/>
  <c r="I63" i="5"/>
  <c r="J63" i="5" s="1"/>
  <c r="K63" i="5" s="1"/>
  <c r="L63" i="5" s="1" a="1"/>
  <c r="L63" i="5" s="1"/>
  <c r="C64" i="5"/>
  <c r="D64" i="5"/>
  <c r="F64" i="5"/>
  <c r="G64" i="5"/>
  <c r="H64" i="5"/>
  <c r="I64" i="5"/>
  <c r="J64" i="5"/>
  <c r="K64" i="5"/>
  <c r="L64" i="5" s="1" a="1"/>
  <c r="L64" i="5" s="1"/>
  <c r="C65" i="5"/>
  <c r="D65" i="5"/>
  <c r="F65" i="5"/>
  <c r="G65" i="5"/>
  <c r="H65" i="5"/>
  <c r="I65" i="5"/>
  <c r="J65" i="5" s="1"/>
  <c r="K65" i="5" s="1"/>
  <c r="L65" i="5" s="1" a="1"/>
  <c r="L65" i="5" s="1"/>
  <c r="C66" i="5"/>
  <c r="D66" i="5"/>
  <c r="F66" i="5"/>
  <c r="G66" i="5"/>
  <c r="H66" i="5"/>
  <c r="I66" i="5"/>
  <c r="C67" i="5"/>
  <c r="D67" i="5"/>
  <c r="F67" i="5"/>
  <c r="G67" i="5"/>
  <c r="H67" i="5"/>
  <c r="I67" i="5"/>
  <c r="J67" i="5" s="1"/>
  <c r="K67" i="5" s="1"/>
  <c r="L67" i="5" s="1" a="1"/>
  <c r="L67" i="5" s="1"/>
  <c r="C68" i="5"/>
  <c r="D68" i="5"/>
  <c r="F68" i="5"/>
  <c r="G68" i="5"/>
  <c r="H68" i="5"/>
  <c r="I68" i="5"/>
  <c r="J68" i="5" s="1"/>
  <c r="K68" i="5" s="1"/>
  <c r="L68" i="5" s="1" a="1"/>
  <c r="L68" i="5" s="1"/>
  <c r="C69" i="5"/>
  <c r="D69" i="5"/>
  <c r="F69" i="5"/>
  <c r="G69" i="5"/>
  <c r="H69" i="5"/>
  <c r="J69" i="5" s="1"/>
  <c r="K69" i="5" s="1"/>
  <c r="L69" i="5" s="1" a="1"/>
  <c r="L69" i="5" s="1"/>
  <c r="I69" i="5"/>
  <c r="C3" i="4"/>
  <c r="D3" i="4"/>
  <c r="F3" i="4"/>
  <c r="K3" i="4" s="1"/>
  <c r="G3" i="4"/>
  <c r="H3" i="4"/>
  <c r="I3" i="4"/>
  <c r="C4" i="4"/>
  <c r="D4" i="4"/>
  <c r="F4" i="4"/>
  <c r="K4" i="4" s="1"/>
  <c r="G4" i="4"/>
  <c r="H4" i="4"/>
  <c r="I4" i="4"/>
  <c r="C5" i="4"/>
  <c r="D5" i="4"/>
  <c r="F5" i="4"/>
  <c r="K5" i="4" s="1"/>
  <c r="G5" i="4"/>
  <c r="H5" i="4"/>
  <c r="I5" i="4"/>
  <c r="C6" i="4"/>
  <c r="D6" i="4"/>
  <c r="F6" i="4"/>
  <c r="K6" i="4" s="1"/>
  <c r="G6" i="4"/>
  <c r="H6" i="4"/>
  <c r="I6" i="4"/>
  <c r="C7" i="4"/>
  <c r="D7" i="4"/>
  <c r="F7" i="4"/>
  <c r="K7" i="4" s="1"/>
  <c r="G7" i="4"/>
  <c r="H7" i="4"/>
  <c r="I7" i="4"/>
  <c r="C8" i="4"/>
  <c r="D8" i="4"/>
  <c r="F8" i="4"/>
  <c r="K8" i="4" s="1"/>
  <c r="G8" i="4"/>
  <c r="H8" i="4"/>
  <c r="I8" i="4"/>
  <c r="C9" i="4"/>
  <c r="D9" i="4"/>
  <c r="F9" i="4"/>
  <c r="K9" i="4" s="1"/>
  <c r="G9" i="4"/>
  <c r="H9" i="4"/>
  <c r="I9" i="4"/>
  <c r="C10" i="4"/>
  <c r="D10" i="4"/>
  <c r="F10" i="4"/>
  <c r="K10" i="4" s="1"/>
  <c r="G10" i="4"/>
  <c r="H10" i="4"/>
  <c r="I10" i="4"/>
  <c r="C11" i="4"/>
  <c r="D11" i="4"/>
  <c r="F11" i="4"/>
  <c r="K11" i="4" s="1"/>
  <c r="G11" i="4"/>
  <c r="H11" i="4"/>
  <c r="I11" i="4"/>
  <c r="C12" i="4"/>
  <c r="D12" i="4"/>
  <c r="F12" i="4"/>
  <c r="K12" i="4" s="1"/>
  <c r="G12" i="4"/>
  <c r="H12" i="4"/>
  <c r="I12" i="4"/>
  <c r="C13" i="4"/>
  <c r="D13" i="4"/>
  <c r="F13" i="4"/>
  <c r="K13" i="4" s="1"/>
  <c r="G13" i="4"/>
  <c r="H13" i="4"/>
  <c r="I13" i="4"/>
  <c r="C14" i="4"/>
  <c r="D14" i="4"/>
  <c r="F14" i="4"/>
  <c r="K14" i="4" s="1"/>
  <c r="G14" i="4"/>
  <c r="H14" i="4"/>
  <c r="I14" i="4"/>
  <c r="C15" i="4"/>
  <c r="D15" i="4"/>
  <c r="F15" i="4"/>
  <c r="K15" i="4" s="1"/>
  <c r="G15" i="4"/>
  <c r="H15" i="4"/>
  <c r="I15" i="4"/>
  <c r="C16" i="4"/>
  <c r="D16" i="4"/>
  <c r="F16" i="4"/>
  <c r="K16" i="4" s="1"/>
  <c r="G16" i="4"/>
  <c r="H16" i="4"/>
  <c r="I16" i="4"/>
  <c r="C17" i="4"/>
  <c r="D17" i="4"/>
  <c r="F17" i="4"/>
  <c r="K17" i="4" s="1"/>
  <c r="G17" i="4"/>
  <c r="H17" i="4"/>
  <c r="I17" i="4"/>
  <c r="C18" i="4"/>
  <c r="D18" i="4"/>
  <c r="F18" i="4"/>
  <c r="K18" i="4" s="1"/>
  <c r="G18" i="4"/>
  <c r="H18" i="4"/>
  <c r="I18" i="4"/>
  <c r="C19" i="4"/>
  <c r="D19" i="4"/>
  <c r="F19" i="4"/>
  <c r="K19" i="4" s="1"/>
  <c r="G19" i="4"/>
  <c r="H19" i="4"/>
  <c r="I19" i="4"/>
  <c r="C20" i="4"/>
  <c r="D20" i="4"/>
  <c r="F20" i="4"/>
  <c r="K20" i="4" s="1"/>
  <c r="G20" i="4"/>
  <c r="H20" i="4"/>
  <c r="I20" i="4"/>
  <c r="C21" i="4"/>
  <c r="D21" i="4"/>
  <c r="F21" i="4"/>
  <c r="K21" i="4" s="1"/>
  <c r="G21" i="4"/>
  <c r="H21" i="4"/>
  <c r="I21" i="4"/>
  <c r="C22" i="4"/>
  <c r="D22" i="4"/>
  <c r="F22" i="4"/>
  <c r="K22" i="4" s="1"/>
  <c r="G22" i="4"/>
  <c r="H22" i="4"/>
  <c r="I22" i="4"/>
  <c r="C23" i="4"/>
  <c r="D23" i="4"/>
  <c r="F23" i="4"/>
  <c r="K23" i="4" s="1"/>
  <c r="G23" i="4"/>
  <c r="H23" i="4"/>
  <c r="I23" i="4"/>
  <c r="C24" i="4"/>
  <c r="D24" i="4"/>
  <c r="F24" i="4"/>
  <c r="K24" i="4" s="1"/>
  <c r="G24" i="4"/>
  <c r="H24" i="4"/>
  <c r="I24" i="4"/>
  <c r="C25" i="4"/>
  <c r="D25" i="4"/>
  <c r="F25" i="4"/>
  <c r="K25" i="4" s="1"/>
  <c r="G25" i="4"/>
  <c r="H25" i="4"/>
  <c r="I25" i="4"/>
  <c r="C26" i="4"/>
  <c r="D26" i="4"/>
  <c r="F26" i="4"/>
  <c r="K26" i="4" s="1"/>
  <c r="G26" i="4"/>
  <c r="H26" i="4"/>
  <c r="I26" i="4"/>
  <c r="C27" i="4"/>
  <c r="D27" i="4"/>
  <c r="F27" i="4"/>
  <c r="K27" i="4" s="1"/>
  <c r="G27" i="4"/>
  <c r="H27" i="4"/>
  <c r="I27" i="4"/>
  <c r="C28" i="4"/>
  <c r="D28" i="4"/>
  <c r="F28" i="4"/>
  <c r="K28" i="4" s="1"/>
  <c r="G28" i="4"/>
  <c r="H28" i="4"/>
  <c r="I28" i="4"/>
  <c r="C29" i="4"/>
  <c r="D29" i="4"/>
  <c r="F29" i="4"/>
  <c r="K29" i="4" s="1"/>
  <c r="G29" i="4"/>
  <c r="H29" i="4"/>
  <c r="I29" i="4"/>
  <c r="C30" i="4"/>
  <c r="D30" i="4"/>
  <c r="F30" i="4"/>
  <c r="K30" i="4" s="1"/>
  <c r="G30" i="4"/>
  <c r="H30" i="4"/>
  <c r="I30" i="4"/>
  <c r="C31" i="4"/>
  <c r="D31" i="4"/>
  <c r="F31" i="4"/>
  <c r="K31" i="4" s="1"/>
  <c r="G31" i="4"/>
  <c r="H31" i="4"/>
  <c r="I31" i="4"/>
  <c r="C32" i="4"/>
  <c r="D32" i="4"/>
  <c r="F32" i="4"/>
  <c r="K32" i="4" s="1"/>
  <c r="G32" i="4"/>
  <c r="H32" i="4"/>
  <c r="I32" i="4"/>
  <c r="C33" i="4"/>
  <c r="D33" i="4"/>
  <c r="F33" i="4"/>
  <c r="K33" i="4" s="1"/>
  <c r="G33" i="4"/>
  <c r="H33" i="4"/>
  <c r="I33" i="4"/>
  <c r="C34" i="4"/>
  <c r="D34" i="4"/>
  <c r="F34" i="4"/>
  <c r="K34" i="4" s="1"/>
  <c r="G34" i="4"/>
  <c r="H34" i="4"/>
  <c r="I34" i="4"/>
  <c r="J34" i="4" s="1"/>
  <c r="L34" i="4" s="1"/>
  <c r="AL34" i="7" s="1"/>
  <c r="C35" i="4"/>
  <c r="D35" i="4"/>
  <c r="F35" i="4"/>
  <c r="K35" i="4" s="1"/>
  <c r="G35" i="4"/>
  <c r="H35" i="4"/>
  <c r="I35" i="4"/>
  <c r="J35" i="4"/>
  <c r="L35" i="4" s="1"/>
  <c r="AL35" i="7" s="1"/>
  <c r="C36" i="4"/>
  <c r="D36" i="4"/>
  <c r="F36" i="4"/>
  <c r="G36" i="4"/>
  <c r="H36" i="4"/>
  <c r="I36" i="4"/>
  <c r="K36" i="4"/>
  <c r="C37" i="4"/>
  <c r="D37" i="4"/>
  <c r="F37" i="4"/>
  <c r="K37" i="4" s="1"/>
  <c r="G37" i="4"/>
  <c r="H37" i="4"/>
  <c r="I37" i="4"/>
  <c r="J37" i="4" s="1"/>
  <c r="L37" i="4" s="1"/>
  <c r="AL37" i="7" s="1"/>
  <c r="C38" i="4"/>
  <c r="D38" i="4"/>
  <c r="F38" i="4"/>
  <c r="G38" i="4"/>
  <c r="H38" i="4"/>
  <c r="I38" i="4"/>
  <c r="J38" i="4"/>
  <c r="L38" i="4" s="1"/>
  <c r="AL38" i="7" s="1"/>
  <c r="K38" i="4"/>
  <c r="C39" i="4"/>
  <c r="D39" i="4"/>
  <c r="F39" i="4"/>
  <c r="K39" i="4" s="1"/>
  <c r="G39" i="4"/>
  <c r="H39" i="4"/>
  <c r="I39" i="4"/>
  <c r="C40" i="4"/>
  <c r="D40" i="4"/>
  <c r="F40" i="4"/>
  <c r="K40" i="4" s="1"/>
  <c r="G40" i="4"/>
  <c r="H40" i="4"/>
  <c r="I40" i="4"/>
  <c r="J40" i="4" s="1"/>
  <c r="L40" i="4" s="1"/>
  <c r="AL40" i="7" s="1"/>
  <c r="C41" i="4"/>
  <c r="D41" i="4"/>
  <c r="F41" i="4"/>
  <c r="G41" i="4"/>
  <c r="H41" i="4"/>
  <c r="I41" i="4"/>
  <c r="J41" i="4" s="1"/>
  <c r="L41" i="4" s="1"/>
  <c r="AL41" i="7" s="1"/>
  <c r="K41" i="4"/>
  <c r="C42" i="4"/>
  <c r="D42" i="4"/>
  <c r="F42" i="4"/>
  <c r="K42" i="4" s="1"/>
  <c r="G42" i="4"/>
  <c r="H42" i="4"/>
  <c r="I42" i="4"/>
  <c r="J42" i="4" s="1"/>
  <c r="L42" i="4" s="1"/>
  <c r="C43" i="4"/>
  <c r="D43" i="4"/>
  <c r="F43" i="4"/>
  <c r="K43" i="4" s="1"/>
  <c r="G43" i="4"/>
  <c r="H43" i="4"/>
  <c r="I43" i="4"/>
  <c r="J43" i="4" s="1"/>
  <c r="L43" i="4" s="1"/>
  <c r="AL43" i="7" s="1"/>
  <c r="C44" i="4"/>
  <c r="D44" i="4"/>
  <c r="F44" i="4"/>
  <c r="K44" i="4" s="1"/>
  <c r="G44" i="4"/>
  <c r="H44" i="4"/>
  <c r="I44" i="4"/>
  <c r="C45" i="4"/>
  <c r="D45" i="4"/>
  <c r="F45" i="4"/>
  <c r="K45" i="4" s="1"/>
  <c r="G45" i="4"/>
  <c r="H45" i="4"/>
  <c r="I45" i="4"/>
  <c r="C46" i="4"/>
  <c r="D46" i="4"/>
  <c r="F46" i="4"/>
  <c r="K46" i="4" s="1"/>
  <c r="G46" i="4"/>
  <c r="H46" i="4"/>
  <c r="I46" i="4"/>
  <c r="J46" i="4" s="1"/>
  <c r="L46" i="4" s="1"/>
  <c r="C47" i="4"/>
  <c r="D47" i="4"/>
  <c r="F47" i="4"/>
  <c r="K47" i="4" s="1"/>
  <c r="G47" i="4"/>
  <c r="H47" i="4"/>
  <c r="I47" i="4"/>
  <c r="C48" i="4"/>
  <c r="D48" i="4"/>
  <c r="F48" i="4"/>
  <c r="K48" i="4" s="1"/>
  <c r="G48" i="4"/>
  <c r="H48" i="4"/>
  <c r="I48" i="4"/>
  <c r="C49" i="4"/>
  <c r="D49" i="4"/>
  <c r="F49" i="4"/>
  <c r="K49" i="4" s="1"/>
  <c r="G49" i="4"/>
  <c r="H49" i="4"/>
  <c r="I49" i="4"/>
  <c r="J49" i="4" s="1"/>
  <c r="L49" i="4" s="1"/>
  <c r="C50" i="4"/>
  <c r="D50" i="4"/>
  <c r="F50" i="4"/>
  <c r="G50" i="4"/>
  <c r="H50" i="4"/>
  <c r="I50" i="4"/>
  <c r="J50" i="4" s="1"/>
  <c r="L50" i="4" s="1"/>
  <c r="K50" i="4"/>
  <c r="C51" i="4"/>
  <c r="D51" i="4"/>
  <c r="F51" i="4"/>
  <c r="K51" i="4" s="1"/>
  <c r="G51" i="4"/>
  <c r="H51" i="4"/>
  <c r="I51" i="4"/>
  <c r="C52" i="4"/>
  <c r="D52" i="4"/>
  <c r="F52" i="4"/>
  <c r="G52" i="4"/>
  <c r="H52" i="4"/>
  <c r="I52" i="4"/>
  <c r="J52" i="4"/>
  <c r="K52" i="4"/>
  <c r="L52" i="4"/>
  <c r="C53" i="4"/>
  <c r="D53" i="4"/>
  <c r="F53" i="4"/>
  <c r="G53" i="4"/>
  <c r="H53" i="4"/>
  <c r="I53" i="4"/>
  <c r="J53" i="4"/>
  <c r="L53" i="4" s="1"/>
  <c r="K53" i="4"/>
  <c r="C54" i="4"/>
  <c r="D54" i="4"/>
  <c r="F54" i="4"/>
  <c r="K54" i="4" s="1"/>
  <c r="G54" i="4"/>
  <c r="H54" i="4"/>
  <c r="I54" i="4"/>
  <c r="C55" i="4"/>
  <c r="D55" i="4"/>
  <c r="F55" i="4"/>
  <c r="K55" i="4" s="1"/>
  <c r="G55" i="4"/>
  <c r="H55" i="4"/>
  <c r="I55" i="4"/>
  <c r="J55" i="4"/>
  <c r="L55" i="4"/>
  <c r="C56" i="4"/>
  <c r="D56" i="4"/>
  <c r="F56" i="4"/>
  <c r="G56" i="4"/>
  <c r="H56" i="4"/>
  <c r="I56" i="4"/>
  <c r="J56" i="4"/>
  <c r="K56" i="4"/>
  <c r="L56" i="4"/>
  <c r="C57" i="4"/>
  <c r="D57" i="4"/>
  <c r="F57" i="4"/>
  <c r="K57" i="4" s="1"/>
  <c r="G57" i="4"/>
  <c r="H57" i="4"/>
  <c r="I57" i="4"/>
  <c r="J57" i="4" s="1"/>
  <c r="L57" i="4" s="1"/>
  <c r="C58" i="4"/>
  <c r="D58" i="4"/>
  <c r="F58" i="4"/>
  <c r="G58" i="4"/>
  <c r="H58" i="4"/>
  <c r="J58" i="4" s="1"/>
  <c r="L58" i="4" s="1"/>
  <c r="I58" i="4"/>
  <c r="K58" i="4"/>
  <c r="C59" i="4"/>
  <c r="D59" i="4"/>
  <c r="F59" i="4"/>
  <c r="K59" i="4" s="1"/>
  <c r="G59" i="4"/>
  <c r="H59" i="4"/>
  <c r="I59" i="4"/>
  <c r="J59" i="4"/>
  <c r="L59" i="4" s="1"/>
  <c r="C60" i="4"/>
  <c r="D60" i="4"/>
  <c r="F60" i="4"/>
  <c r="K60" i="4" s="1"/>
  <c r="G60" i="4"/>
  <c r="H60" i="4"/>
  <c r="J60" i="4" s="1"/>
  <c r="L60" i="4" s="1"/>
  <c r="I60" i="4"/>
  <c r="C61" i="4"/>
  <c r="D61" i="4"/>
  <c r="F61" i="4"/>
  <c r="G61" i="4"/>
  <c r="H61" i="4"/>
  <c r="I61" i="4"/>
  <c r="J61" i="4" s="1"/>
  <c r="L61" i="4" s="1"/>
  <c r="K61" i="4"/>
  <c r="C62" i="4"/>
  <c r="D62" i="4"/>
  <c r="F62" i="4"/>
  <c r="G62" i="4"/>
  <c r="H62" i="4"/>
  <c r="I62" i="4"/>
  <c r="J62" i="4"/>
  <c r="L62" i="4" s="1"/>
  <c r="K62" i="4"/>
  <c r="C63" i="4"/>
  <c r="D63" i="4"/>
  <c r="F63" i="4"/>
  <c r="K63" i="4" s="1"/>
  <c r="G63" i="4"/>
  <c r="H63" i="4"/>
  <c r="I63" i="4"/>
  <c r="J63" i="4" s="1"/>
  <c r="L63" i="4" s="1"/>
  <c r="C64" i="4"/>
  <c r="D64" i="4"/>
  <c r="F64" i="4"/>
  <c r="G64" i="4"/>
  <c r="H64" i="4"/>
  <c r="I64" i="4"/>
  <c r="J64" i="4"/>
  <c r="K64" i="4"/>
  <c r="L64" i="4"/>
  <c r="C65" i="4"/>
  <c r="D65" i="4"/>
  <c r="F65" i="4"/>
  <c r="G65" i="4"/>
  <c r="H65" i="4"/>
  <c r="I65" i="4"/>
  <c r="J65" i="4"/>
  <c r="L65" i="4" s="1"/>
  <c r="K65" i="4"/>
  <c r="C66" i="4"/>
  <c r="D66" i="4"/>
  <c r="F66" i="4"/>
  <c r="K66" i="4" s="1"/>
  <c r="G66" i="4"/>
  <c r="H66" i="4"/>
  <c r="I66" i="4"/>
  <c r="J66" i="4" s="1"/>
  <c r="L66" i="4" s="1"/>
  <c r="C67" i="4"/>
  <c r="D67" i="4"/>
  <c r="F67" i="4"/>
  <c r="G67" i="4"/>
  <c r="H67" i="4"/>
  <c r="I67" i="4"/>
  <c r="J67" i="4"/>
  <c r="K67" i="4"/>
  <c r="L67" i="4"/>
  <c r="C68" i="4"/>
  <c r="D68" i="4"/>
  <c r="F68" i="4"/>
  <c r="K68" i="4" s="1"/>
  <c r="G68" i="4"/>
  <c r="H68" i="4"/>
  <c r="I68" i="4"/>
  <c r="C69" i="4"/>
  <c r="D69" i="4"/>
  <c r="F69" i="4"/>
  <c r="K69" i="4" s="1"/>
  <c r="G69" i="4"/>
  <c r="H69" i="4"/>
  <c r="I69" i="4"/>
  <c r="J69" i="4" s="1"/>
  <c r="L69" i="4" s="1"/>
  <c r="C70" i="4"/>
  <c r="D70" i="4"/>
  <c r="F70" i="4"/>
  <c r="K70" i="4" s="1"/>
  <c r="G70" i="4"/>
  <c r="H70" i="4"/>
  <c r="I70" i="4"/>
  <c r="J70" i="4" s="1"/>
  <c r="L70" i="4" s="1"/>
  <c r="C71" i="4"/>
  <c r="D71" i="4"/>
  <c r="F71" i="4"/>
  <c r="K71" i="4" s="1"/>
  <c r="G71" i="4"/>
  <c r="H71" i="4"/>
  <c r="I71" i="4"/>
  <c r="J71" i="4"/>
  <c r="L71" i="4"/>
  <c r="C72" i="4"/>
  <c r="D72" i="4"/>
  <c r="F72" i="4"/>
  <c r="K72" i="4" s="1"/>
  <c r="G72" i="4"/>
  <c r="H72" i="4"/>
  <c r="I72" i="4"/>
  <c r="J72" i="4" s="1"/>
  <c r="L72" i="4" s="1"/>
  <c r="C73" i="4"/>
  <c r="D73" i="4"/>
  <c r="F73" i="4"/>
  <c r="G73" i="4"/>
  <c r="H73" i="4"/>
  <c r="I73" i="4"/>
  <c r="K73" i="4"/>
  <c r="C74" i="4"/>
  <c r="D74" i="4"/>
  <c r="F74" i="4"/>
  <c r="K74" i="4" s="1"/>
  <c r="G74" i="4"/>
  <c r="H74" i="4"/>
  <c r="I74" i="4"/>
  <c r="J74" i="4"/>
  <c r="L74" i="4"/>
  <c r="C75" i="4"/>
  <c r="D75" i="4"/>
  <c r="F75" i="4"/>
  <c r="K75" i="4" s="1"/>
  <c r="G75" i="4"/>
  <c r="H75" i="4"/>
  <c r="I75" i="4"/>
  <c r="J75" i="4" s="1"/>
  <c r="L75" i="4" s="1"/>
  <c r="C76" i="4"/>
  <c r="D76" i="4"/>
  <c r="F76" i="4"/>
  <c r="G76" i="4"/>
  <c r="H76" i="4"/>
  <c r="J76" i="4" s="1"/>
  <c r="L76" i="4" s="1"/>
  <c r="I76" i="4"/>
  <c r="K76" i="4"/>
  <c r="C77" i="4"/>
  <c r="D77" i="4"/>
  <c r="F77" i="4"/>
  <c r="G77" i="4"/>
  <c r="H77" i="4"/>
  <c r="I77" i="4"/>
  <c r="J77" i="4"/>
  <c r="K77" i="4"/>
  <c r="L77" i="4"/>
  <c r="C78" i="4"/>
  <c r="D78" i="4"/>
  <c r="F78" i="4"/>
  <c r="K78" i="4" s="1"/>
  <c r="G78" i="4"/>
  <c r="H78" i="4"/>
  <c r="I78" i="4"/>
  <c r="J78" i="4"/>
  <c r="L78" i="4"/>
  <c r="C79" i="4"/>
  <c r="D79" i="4"/>
  <c r="F79" i="4"/>
  <c r="K79" i="4" s="1"/>
  <c r="G79" i="4"/>
  <c r="H79" i="4"/>
  <c r="I79" i="4"/>
  <c r="J79" i="4"/>
  <c r="L79" i="4"/>
  <c r="C80" i="4"/>
  <c r="D80" i="4"/>
  <c r="F80" i="4"/>
  <c r="G80" i="4"/>
  <c r="H80" i="4"/>
  <c r="I80" i="4"/>
  <c r="J80" i="4"/>
  <c r="L80" i="4" s="1"/>
  <c r="K80" i="4"/>
  <c r="C81" i="4"/>
  <c r="D81" i="4"/>
  <c r="F81" i="4"/>
  <c r="K81" i="4" s="1"/>
  <c r="G81" i="4"/>
  <c r="H81" i="4"/>
  <c r="I81" i="4"/>
  <c r="C82" i="4"/>
  <c r="D82" i="4"/>
  <c r="F82" i="4"/>
  <c r="G82" i="4"/>
  <c r="H82" i="4"/>
  <c r="I82" i="4"/>
  <c r="J82" i="4"/>
  <c r="K82" i="4"/>
  <c r="L82" i="4"/>
  <c r="C83" i="4"/>
  <c r="D83" i="4"/>
  <c r="F83" i="4"/>
  <c r="K83" i="4" s="1"/>
  <c r="G83" i="4"/>
  <c r="H83" i="4"/>
  <c r="I83" i="4"/>
  <c r="J83" i="4"/>
  <c r="L83" i="4" s="1"/>
  <c r="C84" i="4"/>
  <c r="D84" i="4"/>
  <c r="F84" i="4"/>
  <c r="K84" i="4" s="1"/>
  <c r="G84" i="4"/>
  <c r="H84" i="4"/>
  <c r="I84" i="4"/>
  <c r="C85" i="4"/>
  <c r="D85" i="4"/>
  <c r="F85" i="4"/>
  <c r="G85" i="4"/>
  <c r="H85" i="4"/>
  <c r="I85" i="4"/>
  <c r="J85" i="4"/>
  <c r="K85" i="4"/>
  <c r="L85" i="4"/>
  <c r="C86" i="4"/>
  <c r="D86" i="4"/>
  <c r="F86" i="4"/>
  <c r="G86" i="4"/>
  <c r="H86" i="4"/>
  <c r="I86" i="4"/>
  <c r="J86" i="4"/>
  <c r="L86" i="4" s="1"/>
  <c r="K86" i="4"/>
  <c r="C87" i="4"/>
  <c r="D87" i="4"/>
  <c r="F87" i="4"/>
  <c r="K87" i="4" s="1"/>
  <c r="G87" i="4"/>
  <c r="H87" i="4"/>
  <c r="I87" i="4"/>
  <c r="J87" i="4"/>
  <c r="L87" i="4"/>
  <c r="C88" i="4"/>
  <c r="D88" i="4"/>
  <c r="F88" i="4"/>
  <c r="G88" i="4"/>
  <c r="H88" i="4"/>
  <c r="I88" i="4"/>
  <c r="J88" i="4"/>
  <c r="L88" i="4" s="1"/>
  <c r="K88" i="4"/>
  <c r="C89" i="4"/>
  <c r="D89" i="4"/>
  <c r="F89" i="4"/>
  <c r="K89" i="4" s="1"/>
  <c r="G89" i="4"/>
  <c r="H89" i="4"/>
  <c r="I89" i="4"/>
  <c r="J89" i="4" s="1"/>
  <c r="L89" i="4" s="1"/>
  <c r="C90" i="4"/>
  <c r="D90" i="4"/>
  <c r="F90" i="4"/>
  <c r="K90" i="4" s="1"/>
  <c r="G90" i="4"/>
  <c r="H90" i="4"/>
  <c r="I90" i="4"/>
  <c r="J90" i="4" s="1"/>
  <c r="L90" i="4" s="1"/>
  <c r="C91" i="4"/>
  <c r="D91" i="4"/>
  <c r="F91" i="4"/>
  <c r="G91" i="4"/>
  <c r="H91" i="4"/>
  <c r="I91" i="4"/>
  <c r="J91" i="4"/>
  <c r="L91" i="4" s="1"/>
  <c r="K91" i="4"/>
  <c r="C92" i="4"/>
  <c r="D92" i="4"/>
  <c r="F92" i="4"/>
  <c r="K92" i="4" s="1"/>
  <c r="G92" i="4"/>
  <c r="H92" i="4"/>
  <c r="I92" i="4"/>
  <c r="C93" i="4"/>
  <c r="D93" i="4"/>
  <c r="F93" i="4"/>
  <c r="K93" i="4" s="1"/>
  <c r="G93" i="4"/>
  <c r="H93" i="4"/>
  <c r="I93" i="4"/>
  <c r="J93" i="4"/>
  <c r="L93" i="4"/>
  <c r="C94" i="4"/>
  <c r="D94" i="4"/>
  <c r="F94" i="4"/>
  <c r="K94" i="4" s="1"/>
  <c r="G94" i="4"/>
  <c r="H94" i="4"/>
  <c r="I94" i="4"/>
  <c r="J94" i="4" s="1"/>
  <c r="L94" i="4" s="1"/>
  <c r="C95" i="4"/>
  <c r="D95" i="4"/>
  <c r="F95" i="4"/>
  <c r="G95" i="4"/>
  <c r="H95" i="4"/>
  <c r="I95" i="4"/>
  <c r="J95" i="4"/>
  <c r="K95" i="4"/>
  <c r="L95" i="4"/>
  <c r="C96" i="4"/>
  <c r="D96" i="4"/>
  <c r="F96" i="4"/>
  <c r="K96" i="4" s="1"/>
  <c r="G96" i="4"/>
  <c r="H96" i="4"/>
  <c r="I96" i="4"/>
  <c r="J96" i="4"/>
  <c r="L96" i="4" s="1"/>
  <c r="C97" i="4"/>
  <c r="D97" i="4"/>
  <c r="F97" i="4"/>
  <c r="G97" i="4"/>
  <c r="H97" i="4"/>
  <c r="I97" i="4"/>
  <c r="J97" i="4" s="1"/>
  <c r="L97" i="4" s="1"/>
  <c r="K97" i="4"/>
  <c r="C98" i="4"/>
  <c r="D98" i="4"/>
  <c r="F98" i="4"/>
  <c r="G98" i="4"/>
  <c r="H98" i="4"/>
  <c r="I98" i="4"/>
  <c r="J98" i="4"/>
  <c r="K98" i="4"/>
  <c r="L98" i="4"/>
  <c r="C99" i="4"/>
  <c r="D99" i="4"/>
  <c r="F99" i="4"/>
  <c r="K99" i="4" s="1"/>
  <c r="G99" i="4"/>
  <c r="H99" i="4"/>
  <c r="I99" i="4"/>
  <c r="J99" i="4"/>
  <c r="L99" i="4" s="1"/>
  <c r="C100" i="4"/>
  <c r="D100" i="4"/>
  <c r="F100" i="4"/>
  <c r="G100" i="4"/>
  <c r="H100" i="4"/>
  <c r="I100" i="4"/>
  <c r="J100" i="4"/>
  <c r="K100" i="4"/>
  <c r="L100" i="4"/>
  <c r="C101" i="4"/>
  <c r="D101" i="4"/>
  <c r="F101" i="4"/>
  <c r="G101" i="4"/>
  <c r="H101" i="4"/>
  <c r="I101" i="4"/>
  <c r="J101" i="4"/>
  <c r="L101" i="4" s="1"/>
  <c r="K101" i="4"/>
  <c r="C102" i="4"/>
  <c r="D102" i="4"/>
  <c r="F102" i="4"/>
  <c r="G102" i="4"/>
  <c r="H102" i="4"/>
  <c r="I102" i="4"/>
  <c r="J102" i="4"/>
  <c r="K102" i="4"/>
  <c r="L102" i="4"/>
  <c r="C103" i="4"/>
  <c r="D103" i="4"/>
  <c r="F103" i="4"/>
  <c r="K103" i="4" s="1"/>
  <c r="G103" i="4"/>
  <c r="H103" i="4"/>
  <c r="I103" i="4"/>
  <c r="J103" i="4" s="1"/>
  <c r="L103" i="4" s="1"/>
  <c r="C104" i="4"/>
  <c r="D104" i="4"/>
  <c r="F104" i="4"/>
  <c r="K104" i="4" s="1"/>
  <c r="G104" i="4"/>
  <c r="H104" i="4"/>
  <c r="I104" i="4"/>
  <c r="J104" i="4" s="1"/>
  <c r="L104" i="4" s="1"/>
  <c r="C105" i="4"/>
  <c r="D105" i="4"/>
  <c r="F105" i="4"/>
  <c r="K105" i="4" s="1"/>
  <c r="G105" i="4"/>
  <c r="H105" i="4"/>
  <c r="I105" i="4"/>
  <c r="C106" i="4"/>
  <c r="D106" i="4"/>
  <c r="F106" i="4"/>
  <c r="K106" i="4" s="1"/>
  <c r="G106" i="4"/>
  <c r="H106" i="4"/>
  <c r="I106" i="4"/>
  <c r="J106" i="4"/>
  <c r="L106" i="4" s="1"/>
  <c r="C107" i="4"/>
  <c r="D107" i="4"/>
  <c r="F107" i="4"/>
  <c r="K107" i="4" s="1"/>
  <c r="G107" i="4"/>
  <c r="H107" i="4"/>
  <c r="I107" i="4"/>
  <c r="J107" i="4" s="1"/>
  <c r="L107" i="4" s="1"/>
  <c r="C108" i="4"/>
  <c r="D108" i="4"/>
  <c r="F108" i="4"/>
  <c r="G108" i="4"/>
  <c r="H108" i="4"/>
  <c r="J108" i="4" s="1"/>
  <c r="L108" i="4" s="1"/>
  <c r="I108" i="4"/>
  <c r="K108" i="4"/>
  <c r="C109" i="4"/>
  <c r="D109" i="4"/>
  <c r="F109" i="4"/>
  <c r="G109" i="4"/>
  <c r="H109" i="4"/>
  <c r="I109" i="4"/>
  <c r="J109" i="4"/>
  <c r="L109" i="4" s="1"/>
  <c r="K109" i="4"/>
  <c r="C110" i="4"/>
  <c r="D110" i="4"/>
  <c r="F110" i="4"/>
  <c r="K110" i="4" s="1"/>
  <c r="G110" i="4"/>
  <c r="H110" i="4"/>
  <c r="I110" i="4"/>
  <c r="J110" i="4" s="1"/>
  <c r="L110" i="4" s="1"/>
  <c r="C111" i="4"/>
  <c r="D111" i="4"/>
  <c r="F111" i="4"/>
  <c r="G111" i="4"/>
  <c r="H111" i="4"/>
  <c r="I111" i="4"/>
  <c r="J111" i="4"/>
  <c r="K111" i="4"/>
  <c r="L111" i="4"/>
  <c r="C112" i="4"/>
  <c r="D112" i="4"/>
  <c r="F112" i="4"/>
  <c r="K112" i="4" s="1"/>
  <c r="G112" i="4"/>
  <c r="H112" i="4"/>
  <c r="I112" i="4"/>
  <c r="J112" i="4" s="1"/>
  <c r="L112" i="4" s="1"/>
  <c r="C113" i="4"/>
  <c r="D113" i="4"/>
  <c r="F113" i="4"/>
  <c r="K113" i="4" s="1"/>
  <c r="G113" i="4"/>
  <c r="H113" i="4"/>
  <c r="I113" i="4"/>
  <c r="J113" i="4" s="1"/>
  <c r="L113" i="4" s="1"/>
  <c r="C114" i="4"/>
  <c r="D114" i="4"/>
  <c r="F114" i="4"/>
  <c r="K114" i="4" s="1"/>
  <c r="G114" i="4"/>
  <c r="H114" i="4"/>
  <c r="I114" i="4"/>
  <c r="J114" i="4" s="1"/>
  <c r="L114" i="4" s="1"/>
  <c r="C115" i="4"/>
  <c r="D115" i="4"/>
  <c r="F115" i="4"/>
  <c r="K115" i="4" s="1"/>
  <c r="G115" i="4"/>
  <c r="H115" i="4"/>
  <c r="I115" i="4"/>
  <c r="J115" i="4" s="1"/>
  <c r="L115" i="4" s="1"/>
  <c r="C116" i="4"/>
  <c r="D116" i="4"/>
  <c r="F116" i="4"/>
  <c r="K116" i="4" s="1"/>
  <c r="G116" i="4"/>
  <c r="H116" i="4"/>
  <c r="J116" i="4" s="1"/>
  <c r="L116" i="4" s="1"/>
  <c r="I116" i="4"/>
  <c r="C117" i="4"/>
  <c r="D117" i="4"/>
  <c r="F117" i="4"/>
  <c r="G117" i="4"/>
  <c r="H117" i="4"/>
  <c r="I117" i="4"/>
  <c r="J117" i="4"/>
  <c r="K117" i="4"/>
  <c r="L117" i="4"/>
  <c r="C118" i="4"/>
  <c r="D118" i="4"/>
  <c r="F118" i="4"/>
  <c r="K118" i="4" s="1"/>
  <c r="G118" i="4"/>
  <c r="H118" i="4"/>
  <c r="I118" i="4"/>
  <c r="J118" i="4" s="1"/>
  <c r="L118" i="4" s="1"/>
  <c r="C119" i="4"/>
  <c r="D119" i="4"/>
  <c r="F119" i="4"/>
  <c r="G119" i="4"/>
  <c r="H119" i="4"/>
  <c r="I119" i="4"/>
  <c r="J119" i="4"/>
  <c r="L119" i="4" s="1"/>
  <c r="K119" i="4"/>
  <c r="C120" i="4"/>
  <c r="D120" i="4"/>
  <c r="F120" i="4"/>
  <c r="G120" i="4"/>
  <c r="H120" i="4"/>
  <c r="I120" i="4"/>
  <c r="J120" i="4"/>
  <c r="L120" i="4" s="1"/>
  <c r="K120" i="4"/>
  <c r="C121" i="4"/>
  <c r="D121" i="4"/>
  <c r="F121" i="4"/>
  <c r="G121" i="4"/>
  <c r="H121" i="4"/>
  <c r="I121" i="4"/>
  <c r="J121" i="4" s="1"/>
  <c r="L121" i="4" s="1"/>
  <c r="K121" i="4"/>
  <c r="C122" i="4"/>
  <c r="D122" i="4"/>
  <c r="F122" i="4"/>
  <c r="G122" i="4"/>
  <c r="H122" i="4"/>
  <c r="I122" i="4"/>
  <c r="J122" i="4"/>
  <c r="L122" i="4" s="1"/>
  <c r="K122" i="4"/>
  <c r="C123" i="4"/>
  <c r="D123" i="4"/>
  <c r="F123" i="4"/>
  <c r="G123" i="4"/>
  <c r="H123" i="4"/>
  <c r="I123" i="4"/>
  <c r="J123" i="4"/>
  <c r="L123" i="4" s="1"/>
  <c r="K123" i="4"/>
  <c r="C124" i="4"/>
  <c r="D124" i="4"/>
  <c r="F124" i="4"/>
  <c r="K124" i="4" s="1"/>
  <c r="G124" i="4"/>
  <c r="H124" i="4"/>
  <c r="I124" i="4"/>
  <c r="J124" i="4"/>
  <c r="L124" i="4" s="1"/>
  <c r="C125" i="4"/>
  <c r="D125" i="4"/>
  <c r="F125" i="4"/>
  <c r="K125" i="4" s="1"/>
  <c r="G125" i="4"/>
  <c r="H125" i="4"/>
  <c r="I125" i="4"/>
  <c r="J125" i="4" s="1"/>
  <c r="L125" i="4" s="1"/>
  <c r="C126" i="4"/>
  <c r="D126" i="4"/>
  <c r="F126" i="4"/>
  <c r="K126" i="4" s="1"/>
  <c r="G126" i="4"/>
  <c r="H126" i="4"/>
  <c r="I126" i="4"/>
  <c r="J126" i="4"/>
  <c r="L126" i="4" s="1"/>
  <c r="C127" i="4"/>
  <c r="D127" i="4"/>
  <c r="F127" i="4"/>
  <c r="K127" i="4" s="1"/>
  <c r="G127" i="4"/>
  <c r="H127" i="4"/>
  <c r="I127" i="4"/>
  <c r="J127" i="4"/>
  <c r="L127" i="4"/>
  <c r="C128" i="4"/>
  <c r="D128" i="4"/>
  <c r="F128" i="4"/>
  <c r="K128" i="4" s="1"/>
  <c r="G128" i="4"/>
  <c r="H128" i="4"/>
  <c r="I128" i="4"/>
  <c r="J128" i="4" s="1"/>
  <c r="L128" i="4" s="1"/>
  <c r="C129" i="4"/>
  <c r="D129" i="4"/>
  <c r="F129" i="4"/>
  <c r="K129" i="4" s="1"/>
  <c r="G129" i="4"/>
  <c r="H129" i="4"/>
  <c r="I129" i="4"/>
  <c r="C130" i="4"/>
  <c r="D130" i="4"/>
  <c r="F130" i="4"/>
  <c r="K130" i="4" s="1"/>
  <c r="G130" i="4"/>
  <c r="H130" i="4"/>
  <c r="J130" i="4" s="1"/>
  <c r="L130" i="4" s="1"/>
  <c r="I130" i="4"/>
  <c r="C131" i="4"/>
  <c r="D131" i="4"/>
  <c r="F131" i="4"/>
  <c r="K131" i="4" s="1"/>
  <c r="G131" i="4"/>
  <c r="H131" i="4"/>
  <c r="I131" i="4"/>
  <c r="J131" i="4" s="1"/>
  <c r="L131" i="4" s="1"/>
  <c r="C132" i="4"/>
  <c r="D132" i="4"/>
  <c r="F132" i="4"/>
  <c r="G132" i="4"/>
  <c r="H132" i="4"/>
  <c r="J132" i="4" s="1"/>
  <c r="L132" i="4" s="1"/>
  <c r="I132" i="4"/>
  <c r="K132" i="4"/>
  <c r="C133" i="4"/>
  <c r="D133" i="4"/>
  <c r="F133" i="4"/>
  <c r="K133" i="4" s="1"/>
  <c r="G133" i="4"/>
  <c r="H133" i="4"/>
  <c r="I133" i="4"/>
  <c r="J133" i="4" s="1"/>
  <c r="L133" i="4" s="1"/>
  <c r="C134" i="4"/>
  <c r="D134" i="4"/>
  <c r="F134" i="4"/>
  <c r="K134" i="4" s="1"/>
  <c r="G134" i="4"/>
  <c r="H134" i="4"/>
  <c r="I134" i="4"/>
  <c r="J134" i="4" s="1"/>
  <c r="L134" i="4" s="1"/>
  <c r="C135" i="4"/>
  <c r="D135" i="4"/>
  <c r="F135" i="4"/>
  <c r="K135" i="4" s="1"/>
  <c r="G135" i="4"/>
  <c r="H135" i="4"/>
  <c r="I135" i="4"/>
  <c r="J135" i="4"/>
  <c r="L135" i="4" s="1"/>
  <c r="C136" i="4"/>
  <c r="D136" i="4"/>
  <c r="F136" i="4"/>
  <c r="K136" i="4" s="1"/>
  <c r="G136" i="4"/>
  <c r="H136" i="4"/>
  <c r="I136" i="4"/>
  <c r="J136" i="4"/>
  <c r="L136" i="4"/>
  <c r="C137" i="4"/>
  <c r="D137" i="4"/>
  <c r="F137" i="4"/>
  <c r="K137" i="4" s="1"/>
  <c r="G137" i="4"/>
  <c r="H137" i="4"/>
  <c r="I137" i="4"/>
  <c r="J137" i="4" s="1"/>
  <c r="L137" i="4" s="1"/>
  <c r="C138" i="4"/>
  <c r="D138" i="4"/>
  <c r="F138" i="4"/>
  <c r="K138" i="4" s="1"/>
  <c r="G138" i="4"/>
  <c r="H138" i="4"/>
  <c r="I138" i="4"/>
  <c r="J138" i="4" s="1"/>
  <c r="L138" i="4" s="1"/>
  <c r="C139" i="4"/>
  <c r="D139" i="4"/>
  <c r="F139" i="4"/>
  <c r="K139" i="4" s="1"/>
  <c r="G139" i="4"/>
  <c r="H139" i="4"/>
  <c r="I139" i="4"/>
  <c r="J139" i="4"/>
  <c r="L139" i="4"/>
  <c r="C140" i="4"/>
  <c r="D140" i="4"/>
  <c r="F140" i="4"/>
  <c r="K140" i="4" s="1"/>
  <c r="G140" i="4"/>
  <c r="H140" i="4"/>
  <c r="J140" i="4" s="1"/>
  <c r="L140" i="4" s="1"/>
  <c r="I140" i="4"/>
  <c r="C141" i="4"/>
  <c r="D141" i="4"/>
  <c r="F141" i="4"/>
  <c r="K141" i="4" s="1"/>
  <c r="G141" i="4"/>
  <c r="H141" i="4"/>
  <c r="I141" i="4"/>
  <c r="J141" i="4"/>
  <c r="L141" i="4" s="1"/>
  <c r="C142" i="4"/>
  <c r="D142" i="4"/>
  <c r="F142" i="4"/>
  <c r="K142" i="4" s="1"/>
  <c r="G142" i="4"/>
  <c r="H142" i="4"/>
  <c r="I142" i="4"/>
  <c r="J142" i="4" s="1"/>
  <c r="L142" i="4" s="1"/>
  <c r="C143" i="4"/>
  <c r="D143" i="4"/>
  <c r="F143" i="4"/>
  <c r="K143" i="4" s="1"/>
  <c r="G143" i="4"/>
  <c r="H143" i="4"/>
  <c r="I143" i="4"/>
  <c r="J143" i="4" s="1"/>
  <c r="L143" i="4" s="1"/>
  <c r="C144" i="4"/>
  <c r="D144" i="4"/>
  <c r="F144" i="4"/>
  <c r="K144" i="4" s="1"/>
  <c r="G144" i="4"/>
  <c r="H144" i="4"/>
  <c r="I144" i="4"/>
  <c r="J144" i="4"/>
  <c r="L144" i="4" s="1"/>
  <c r="C145" i="4"/>
  <c r="D145" i="4"/>
  <c r="F145" i="4"/>
  <c r="K145" i="4" s="1"/>
  <c r="G145" i="4"/>
  <c r="H145" i="4"/>
  <c r="I145" i="4"/>
  <c r="C146" i="4"/>
  <c r="D146" i="4"/>
  <c r="F146" i="4"/>
  <c r="K146" i="4" s="1"/>
  <c r="G146" i="4"/>
  <c r="H146" i="4"/>
  <c r="I146" i="4"/>
  <c r="J146" i="4" s="1"/>
  <c r="L146" i="4" s="1"/>
  <c r="C147" i="4"/>
  <c r="D147" i="4"/>
  <c r="F147" i="4"/>
  <c r="K147" i="4" s="1"/>
  <c r="G147" i="4"/>
  <c r="H147" i="4"/>
  <c r="I147" i="4"/>
  <c r="J147" i="4"/>
  <c r="L147" i="4" s="1"/>
  <c r="C148" i="4"/>
  <c r="D148" i="4"/>
  <c r="F148" i="4"/>
  <c r="K148" i="4" s="1"/>
  <c r="G148" i="4"/>
  <c r="H148" i="4"/>
  <c r="J148" i="4" s="1"/>
  <c r="L148" i="4" s="1"/>
  <c r="I148" i="4"/>
  <c r="C149" i="4"/>
  <c r="D149" i="4"/>
  <c r="F149" i="4"/>
  <c r="K149" i="4" s="1"/>
  <c r="G149" i="4"/>
  <c r="H149" i="4"/>
  <c r="I149" i="4"/>
  <c r="J149" i="4" s="1"/>
  <c r="L149" i="4" s="1"/>
  <c r="C150" i="4"/>
  <c r="D150" i="4"/>
  <c r="F150" i="4"/>
  <c r="G150" i="4"/>
  <c r="H150" i="4"/>
  <c r="J150" i="4" s="1"/>
  <c r="L150" i="4" s="1"/>
  <c r="I150" i="4"/>
  <c r="K150" i="4"/>
  <c r="C151" i="4"/>
  <c r="D151" i="4"/>
  <c r="F151" i="4"/>
  <c r="K151" i="4" s="1"/>
  <c r="G151" i="4"/>
  <c r="H151" i="4"/>
  <c r="I151" i="4"/>
  <c r="J151" i="4"/>
  <c r="L151" i="4"/>
  <c r="C152" i="4"/>
  <c r="D152" i="4"/>
  <c r="F152" i="4"/>
  <c r="K152" i="4" s="1"/>
  <c r="G152" i="4"/>
  <c r="H152" i="4"/>
  <c r="J152" i="4" s="1"/>
  <c r="L152" i="4" s="1"/>
  <c r="I152" i="4"/>
  <c r="C153" i="4"/>
  <c r="D153" i="4"/>
  <c r="F153" i="4"/>
  <c r="K153" i="4" s="1"/>
  <c r="G153" i="4"/>
  <c r="H153" i="4"/>
  <c r="I153" i="4"/>
  <c r="J153" i="4" s="1"/>
  <c r="L153" i="4" s="1"/>
  <c r="C154" i="4"/>
  <c r="D154" i="4"/>
  <c r="F154" i="4"/>
  <c r="G154" i="4"/>
  <c r="H154" i="4"/>
  <c r="I154" i="4"/>
  <c r="J154" i="4"/>
  <c r="K154" i="4"/>
  <c r="L154" i="4"/>
  <c r="C155" i="4"/>
  <c r="D155" i="4"/>
  <c r="F155" i="4"/>
  <c r="K155" i="4" s="1"/>
  <c r="G155" i="4"/>
  <c r="H155" i="4"/>
  <c r="I155" i="4"/>
  <c r="J155" i="4"/>
  <c r="L155" i="4" s="1"/>
  <c r="C156" i="4"/>
  <c r="D156" i="4"/>
  <c r="F156" i="4"/>
  <c r="G156" i="4"/>
  <c r="H156" i="4"/>
  <c r="J156" i="4" s="1"/>
  <c r="L156" i="4" s="1"/>
  <c r="I156" i="4"/>
  <c r="K156" i="4"/>
  <c r="C157" i="4"/>
  <c r="D157" i="4"/>
  <c r="F157" i="4"/>
  <c r="K157" i="4" s="1"/>
  <c r="G157" i="4"/>
  <c r="H157" i="4"/>
  <c r="I157" i="4"/>
  <c r="J157" i="4"/>
  <c r="L157" i="4"/>
  <c r="C158" i="4"/>
  <c r="D158" i="4"/>
  <c r="F158" i="4"/>
  <c r="K158" i="4" s="1"/>
  <c r="G158" i="4"/>
  <c r="H158" i="4"/>
  <c r="I158" i="4"/>
  <c r="J158" i="4" s="1"/>
  <c r="L158" i="4" s="1"/>
  <c r="C3" i="3"/>
  <c r="D3" i="3"/>
  <c r="E3" i="3"/>
  <c r="F3" i="3"/>
  <c r="G3" i="3"/>
  <c r="H3" i="3"/>
  <c r="I3" i="3"/>
  <c r="J3" i="3"/>
  <c r="C4" i="3"/>
  <c r="D4" i="3"/>
  <c r="E4" i="3"/>
  <c r="F4" i="3"/>
  <c r="G4" i="3"/>
  <c r="H4" i="3"/>
  <c r="I4" i="3"/>
  <c r="J4" i="3"/>
  <c r="C5" i="3"/>
  <c r="D5" i="3"/>
  <c r="E5" i="3"/>
  <c r="F5" i="3"/>
  <c r="G5" i="3"/>
  <c r="H5" i="3"/>
  <c r="I5" i="3"/>
  <c r="J5" i="3"/>
  <c r="C6" i="3"/>
  <c r="D6" i="3"/>
  <c r="E6" i="3"/>
  <c r="F6" i="3"/>
  <c r="G6" i="3"/>
  <c r="H6" i="3"/>
  <c r="I6" i="3"/>
  <c r="J6" i="3"/>
  <c r="C7" i="3"/>
  <c r="D7" i="3"/>
  <c r="E7" i="3"/>
  <c r="F7" i="3"/>
  <c r="G7" i="3"/>
  <c r="H7" i="3"/>
  <c r="I7" i="3"/>
  <c r="J7" i="3"/>
  <c r="C8" i="3"/>
  <c r="D8" i="3"/>
  <c r="E8" i="3"/>
  <c r="F8" i="3"/>
  <c r="G8" i="3"/>
  <c r="H8" i="3"/>
  <c r="I8" i="3"/>
  <c r="J8" i="3"/>
  <c r="C9" i="3"/>
  <c r="D9" i="3"/>
  <c r="E9" i="3"/>
  <c r="F9" i="3"/>
  <c r="G9" i="3"/>
  <c r="H9" i="3"/>
  <c r="I9" i="3"/>
  <c r="J9" i="3"/>
  <c r="C10" i="3"/>
  <c r="D10" i="3"/>
  <c r="E10" i="3"/>
  <c r="F10" i="3"/>
  <c r="G10" i="3"/>
  <c r="H10" i="3"/>
  <c r="I10" i="3"/>
  <c r="J10" i="3"/>
  <c r="C11" i="3"/>
  <c r="D11" i="3"/>
  <c r="E11" i="3"/>
  <c r="F11" i="3"/>
  <c r="G11" i="3"/>
  <c r="H11" i="3"/>
  <c r="I11" i="3"/>
  <c r="J11" i="3"/>
  <c r="C12" i="3"/>
  <c r="D12" i="3"/>
  <c r="E12" i="3"/>
  <c r="F12" i="3"/>
  <c r="G12" i="3"/>
  <c r="H12" i="3"/>
  <c r="I12" i="3"/>
  <c r="J12" i="3"/>
  <c r="C13" i="3"/>
  <c r="D13" i="3"/>
  <c r="E13" i="3"/>
  <c r="F13" i="3"/>
  <c r="G13" i="3"/>
  <c r="H13" i="3"/>
  <c r="I13" i="3"/>
  <c r="J13" i="3"/>
  <c r="C14" i="3"/>
  <c r="D14" i="3"/>
  <c r="E14" i="3"/>
  <c r="F14" i="3"/>
  <c r="G14" i="3"/>
  <c r="H14" i="3"/>
  <c r="I14" i="3"/>
  <c r="J14" i="3"/>
  <c r="C15" i="3"/>
  <c r="D15" i="3"/>
  <c r="E15" i="3"/>
  <c r="F15" i="3"/>
  <c r="G15" i="3"/>
  <c r="H15" i="3"/>
  <c r="I15" i="3"/>
  <c r="J15" i="3"/>
  <c r="C16" i="3"/>
  <c r="D16" i="3"/>
  <c r="E16" i="3"/>
  <c r="F16" i="3"/>
  <c r="G16" i="3"/>
  <c r="H16" i="3"/>
  <c r="I16" i="3"/>
  <c r="J16" i="3"/>
  <c r="C17" i="3"/>
  <c r="D17" i="3"/>
  <c r="E17" i="3"/>
  <c r="F17" i="3"/>
  <c r="G17" i="3"/>
  <c r="H17" i="3"/>
  <c r="I17" i="3"/>
  <c r="J17" i="3"/>
  <c r="C18" i="3"/>
  <c r="D18" i="3"/>
  <c r="E18" i="3"/>
  <c r="F18" i="3"/>
  <c r="G18" i="3"/>
  <c r="H18" i="3"/>
  <c r="I18" i="3"/>
  <c r="J18" i="3"/>
  <c r="C19" i="3"/>
  <c r="D19" i="3"/>
  <c r="E19" i="3"/>
  <c r="F19" i="3"/>
  <c r="G19" i="3"/>
  <c r="H19" i="3"/>
  <c r="I19" i="3"/>
  <c r="J19" i="3"/>
  <c r="C20" i="3"/>
  <c r="D20" i="3"/>
  <c r="E20" i="3"/>
  <c r="F20" i="3"/>
  <c r="G20" i="3"/>
  <c r="H20" i="3"/>
  <c r="I20" i="3"/>
  <c r="J20" i="3"/>
  <c r="C21" i="3"/>
  <c r="D21" i="3"/>
  <c r="E21" i="3"/>
  <c r="F21" i="3"/>
  <c r="G21" i="3"/>
  <c r="H21" i="3"/>
  <c r="I21" i="3"/>
  <c r="J21" i="3"/>
  <c r="C22" i="3"/>
  <c r="D22" i="3"/>
  <c r="E22" i="3"/>
  <c r="F22" i="3"/>
  <c r="G22" i="3"/>
  <c r="H22" i="3"/>
  <c r="I22" i="3"/>
  <c r="J22" i="3"/>
  <c r="C23" i="3"/>
  <c r="D23" i="3"/>
  <c r="E23" i="3"/>
  <c r="F23" i="3"/>
  <c r="G23" i="3"/>
  <c r="H23" i="3"/>
  <c r="I23" i="3"/>
  <c r="J23" i="3"/>
  <c r="C24" i="3"/>
  <c r="D24" i="3"/>
  <c r="E24" i="3"/>
  <c r="F24" i="3"/>
  <c r="G24" i="3"/>
  <c r="H24" i="3"/>
  <c r="J24" i="3"/>
  <c r="C25" i="3"/>
  <c r="D25" i="3"/>
  <c r="E25" i="3"/>
  <c r="F25" i="3"/>
  <c r="G25" i="3"/>
  <c r="H25" i="3"/>
  <c r="I25" i="3"/>
  <c r="J25" i="3"/>
  <c r="C26" i="3"/>
  <c r="D26" i="3"/>
  <c r="E26" i="3"/>
  <c r="F26" i="3"/>
  <c r="G26" i="3"/>
  <c r="H26" i="3"/>
  <c r="I26" i="3"/>
  <c r="J26" i="3"/>
  <c r="C27" i="3"/>
  <c r="D27" i="3"/>
  <c r="E27" i="3"/>
  <c r="F27" i="3"/>
  <c r="G27" i="3"/>
  <c r="H27" i="3"/>
  <c r="I27" i="3"/>
  <c r="J27" i="3"/>
  <c r="C28" i="3"/>
  <c r="D28" i="3"/>
  <c r="E28" i="3"/>
  <c r="F28" i="3"/>
  <c r="G28" i="3"/>
  <c r="H28" i="3"/>
  <c r="I28" i="3"/>
  <c r="J28" i="3"/>
  <c r="C29" i="3"/>
  <c r="D29" i="3"/>
  <c r="E29" i="3"/>
  <c r="F29" i="3"/>
  <c r="G29" i="3"/>
  <c r="H29" i="3"/>
  <c r="I29" i="3"/>
  <c r="J29" i="3"/>
  <c r="C30" i="3"/>
  <c r="D30" i="3"/>
  <c r="E30" i="3"/>
  <c r="F30" i="3"/>
  <c r="G30" i="3"/>
  <c r="H30" i="3"/>
  <c r="I30" i="3"/>
  <c r="J30" i="3"/>
  <c r="C31" i="3"/>
  <c r="D31" i="3"/>
  <c r="E31" i="3"/>
  <c r="F31" i="3"/>
  <c r="G31" i="3"/>
  <c r="H31" i="3"/>
  <c r="I31" i="3"/>
  <c r="L31" i="3" s="1"/>
  <c r="V31" i="7" s="1"/>
  <c r="J31" i="3"/>
  <c r="C32" i="3"/>
  <c r="D32" i="3"/>
  <c r="E32" i="3"/>
  <c r="F32" i="3"/>
  <c r="G32" i="3"/>
  <c r="H32" i="3"/>
  <c r="I32" i="3"/>
  <c r="L32" i="3" s="1"/>
  <c r="V32" i="7" s="1"/>
  <c r="J32" i="3"/>
  <c r="K32" i="3" s="1"/>
  <c r="T32" i="7" s="1"/>
  <c r="C33" i="3"/>
  <c r="D33" i="3"/>
  <c r="E33" i="3"/>
  <c r="F33" i="3"/>
  <c r="G33" i="3"/>
  <c r="H33" i="3"/>
  <c r="I33" i="3"/>
  <c r="L33" i="3" s="1"/>
  <c r="V33" i="7" s="1"/>
  <c r="J33" i="3"/>
  <c r="C34" i="3"/>
  <c r="D34" i="3"/>
  <c r="E34" i="3"/>
  <c r="F34" i="3"/>
  <c r="G34" i="3"/>
  <c r="H34" i="3"/>
  <c r="I34" i="3"/>
  <c r="L34" i="3" s="1"/>
  <c r="V34" i="7" s="1"/>
  <c r="J34" i="3"/>
  <c r="C35" i="3"/>
  <c r="D35" i="3"/>
  <c r="E35" i="3"/>
  <c r="F35" i="3"/>
  <c r="G35" i="3"/>
  <c r="H35" i="3"/>
  <c r="I35" i="3"/>
  <c r="M35" i="3" s="1"/>
  <c r="U35" i="7" s="1"/>
  <c r="J35" i="3"/>
  <c r="C36" i="3"/>
  <c r="D36" i="3"/>
  <c r="E36" i="3"/>
  <c r="F36" i="3"/>
  <c r="G36" i="3"/>
  <c r="H36" i="3"/>
  <c r="I36" i="3"/>
  <c r="J36" i="3"/>
  <c r="K36" i="3" s="1"/>
  <c r="T36" i="7" s="1"/>
  <c r="L36" i="3"/>
  <c r="V36" i="7" s="1"/>
  <c r="M36" i="3"/>
  <c r="U36" i="7" s="1"/>
  <c r="C37" i="3"/>
  <c r="D37" i="3"/>
  <c r="E37" i="3"/>
  <c r="F37" i="3"/>
  <c r="G37" i="3"/>
  <c r="H37" i="3"/>
  <c r="I37" i="3"/>
  <c r="L37" i="3" s="1"/>
  <c r="V37" i="7" s="1"/>
  <c r="J37" i="3"/>
  <c r="C38" i="3"/>
  <c r="D38" i="3"/>
  <c r="E38" i="3"/>
  <c r="F38" i="3"/>
  <c r="G38" i="3"/>
  <c r="H38" i="3"/>
  <c r="I38" i="3"/>
  <c r="L38" i="3" s="1"/>
  <c r="V38" i="7" s="1"/>
  <c r="J38" i="3"/>
  <c r="K38" i="3" s="1"/>
  <c r="T38" i="7" s="1"/>
  <c r="C39" i="3"/>
  <c r="D39" i="3"/>
  <c r="E39" i="3"/>
  <c r="F39" i="3"/>
  <c r="G39" i="3"/>
  <c r="H39" i="3"/>
  <c r="I39" i="3"/>
  <c r="L39" i="3" s="1"/>
  <c r="V39" i="7" s="1"/>
  <c r="J39" i="3"/>
  <c r="K39" i="3"/>
  <c r="T39" i="7" s="1"/>
  <c r="C40" i="3"/>
  <c r="D40" i="3"/>
  <c r="E40" i="3"/>
  <c r="F40" i="3"/>
  <c r="G40" i="3"/>
  <c r="H40" i="3"/>
  <c r="I40" i="3"/>
  <c r="M40" i="3" s="1"/>
  <c r="U40" i="7" s="1"/>
  <c r="J40" i="3"/>
  <c r="K40" i="3" s="1"/>
  <c r="T40" i="7" s="1"/>
  <c r="C41" i="3"/>
  <c r="D41" i="3"/>
  <c r="E41" i="3"/>
  <c r="F41" i="3"/>
  <c r="G41" i="3"/>
  <c r="H41" i="3"/>
  <c r="I41" i="3"/>
  <c r="L41" i="3" s="1"/>
  <c r="V41" i="7" s="1"/>
  <c r="J41" i="3"/>
  <c r="M41" i="3"/>
  <c r="U41" i="7" s="1"/>
  <c r="C42" i="3"/>
  <c r="D42" i="3"/>
  <c r="E42" i="3"/>
  <c r="F42" i="3"/>
  <c r="G42" i="3"/>
  <c r="H42" i="3"/>
  <c r="I42" i="3"/>
  <c r="J42" i="3"/>
  <c r="L42" i="3"/>
  <c r="V42" i="7" s="1"/>
  <c r="M42" i="3"/>
  <c r="U42" i="7" s="1"/>
  <c r="C43" i="3"/>
  <c r="D43" i="3"/>
  <c r="E43" i="3"/>
  <c r="F43" i="3"/>
  <c r="G43" i="3"/>
  <c r="H43" i="3"/>
  <c r="I43" i="3"/>
  <c r="J43" i="3"/>
  <c r="K43" i="3" s="1"/>
  <c r="T43" i="7" s="1"/>
  <c r="L43" i="3"/>
  <c r="M43" i="3"/>
  <c r="U43" i="7" s="1"/>
  <c r="C44" i="3"/>
  <c r="D44" i="3"/>
  <c r="E44" i="3"/>
  <c r="F44" i="3"/>
  <c r="G44" i="3"/>
  <c r="H44" i="3"/>
  <c r="I44" i="3"/>
  <c r="L44" i="3" s="1"/>
  <c r="J44" i="3"/>
  <c r="K44" i="3" s="1"/>
  <c r="C45" i="3"/>
  <c r="D45" i="3"/>
  <c r="E45" i="3"/>
  <c r="F45" i="3"/>
  <c r="G45" i="3"/>
  <c r="H45" i="3"/>
  <c r="I45" i="3"/>
  <c r="L45" i="3" s="1"/>
  <c r="J45" i="3"/>
  <c r="C46" i="3"/>
  <c r="D46" i="3"/>
  <c r="E46" i="3"/>
  <c r="F46" i="3"/>
  <c r="G46" i="3"/>
  <c r="H46" i="3"/>
  <c r="I46" i="3"/>
  <c r="L46" i="3" s="1"/>
  <c r="J46" i="3"/>
  <c r="K46" i="3" s="1"/>
  <c r="C47" i="3"/>
  <c r="D47" i="3"/>
  <c r="E47" i="3"/>
  <c r="F47" i="3"/>
  <c r="G47" i="3"/>
  <c r="H47" i="3"/>
  <c r="I47" i="3"/>
  <c r="L47" i="3" s="1"/>
  <c r="J47" i="3"/>
  <c r="C48" i="3"/>
  <c r="D48" i="3"/>
  <c r="E48" i="3"/>
  <c r="F48" i="3"/>
  <c r="G48" i="3"/>
  <c r="H48" i="3"/>
  <c r="I48" i="3"/>
  <c r="L48" i="3" s="1"/>
  <c r="J48" i="3"/>
  <c r="K48" i="3" s="1"/>
  <c r="C49" i="3"/>
  <c r="D49" i="3"/>
  <c r="E49" i="3"/>
  <c r="F49" i="3"/>
  <c r="G49" i="3"/>
  <c r="H49" i="3"/>
  <c r="I49" i="3"/>
  <c r="L49" i="3" s="1"/>
  <c r="J49" i="3"/>
  <c r="C50" i="3"/>
  <c r="D50" i="3"/>
  <c r="E50" i="3"/>
  <c r="F50" i="3"/>
  <c r="G50" i="3"/>
  <c r="H50" i="3"/>
  <c r="I50" i="3"/>
  <c r="J50" i="3"/>
  <c r="K50" i="3" s="1"/>
  <c r="L50" i="3"/>
  <c r="M50" i="3"/>
  <c r="C51" i="3"/>
  <c r="D51" i="3"/>
  <c r="E51" i="3"/>
  <c r="F51" i="3"/>
  <c r="G51" i="3"/>
  <c r="H51" i="3"/>
  <c r="I51" i="3"/>
  <c r="L51" i="3" s="1"/>
  <c r="J51" i="3"/>
  <c r="K51" i="3"/>
  <c r="C52" i="3"/>
  <c r="D52" i="3"/>
  <c r="E52" i="3"/>
  <c r="F52" i="3"/>
  <c r="G52" i="3"/>
  <c r="H52" i="3"/>
  <c r="I52" i="3"/>
  <c r="M52" i="3" s="1"/>
  <c r="J52" i="3"/>
  <c r="K52" i="3"/>
  <c r="L52" i="3"/>
  <c r="C53" i="3"/>
  <c r="D53" i="3"/>
  <c r="E53" i="3"/>
  <c r="F53" i="3"/>
  <c r="G53" i="3"/>
  <c r="H53" i="3"/>
  <c r="I53" i="3"/>
  <c r="L53" i="3" s="1"/>
  <c r="J53" i="3"/>
  <c r="C54" i="3"/>
  <c r="D54" i="3"/>
  <c r="E54" i="3"/>
  <c r="F54" i="3"/>
  <c r="G54" i="3"/>
  <c r="H54" i="3"/>
  <c r="I54" i="3"/>
  <c r="L54" i="3" s="1"/>
  <c r="J54" i="3"/>
  <c r="M54" i="3"/>
  <c r="C55" i="3"/>
  <c r="D55" i="3"/>
  <c r="E55" i="3"/>
  <c r="F55" i="3"/>
  <c r="G55" i="3"/>
  <c r="H55" i="3"/>
  <c r="I55" i="3"/>
  <c r="J55" i="3"/>
  <c r="K55" i="3"/>
  <c r="L55" i="3"/>
  <c r="M55" i="3"/>
  <c r="N55" i="3" s="1"/>
  <c r="C56" i="3"/>
  <c r="D56" i="3"/>
  <c r="E56" i="3"/>
  <c r="F56" i="3"/>
  <c r="G56" i="3"/>
  <c r="H56" i="3"/>
  <c r="I56" i="3"/>
  <c r="L56" i="3" s="1"/>
  <c r="J56" i="3"/>
  <c r="K56" i="3"/>
  <c r="M56" i="3"/>
  <c r="C57" i="3"/>
  <c r="D57" i="3"/>
  <c r="E57" i="3"/>
  <c r="F57" i="3"/>
  <c r="G57" i="3"/>
  <c r="H57" i="3"/>
  <c r="K57" i="3" s="1"/>
  <c r="I57" i="3"/>
  <c r="J57" i="3"/>
  <c r="L57" i="3"/>
  <c r="M57" i="3"/>
  <c r="C58" i="3"/>
  <c r="D58" i="3"/>
  <c r="E58" i="3"/>
  <c r="F58" i="3"/>
  <c r="G58" i="3"/>
  <c r="H58" i="3"/>
  <c r="I58" i="3"/>
  <c r="L58" i="3" s="1"/>
  <c r="J58" i="3"/>
  <c r="C59" i="3"/>
  <c r="D59" i="3"/>
  <c r="E59" i="3"/>
  <c r="F59" i="3"/>
  <c r="G59" i="3"/>
  <c r="H59" i="3"/>
  <c r="I59" i="3"/>
  <c r="M59" i="3" s="1"/>
  <c r="J59" i="3"/>
  <c r="K59" i="3" s="1"/>
  <c r="C60" i="3"/>
  <c r="D60" i="3"/>
  <c r="E60" i="3"/>
  <c r="F60" i="3"/>
  <c r="G60" i="3"/>
  <c r="H60" i="3"/>
  <c r="I60" i="3"/>
  <c r="J60" i="3"/>
  <c r="K60" i="3"/>
  <c r="L60" i="3"/>
  <c r="M60" i="3"/>
  <c r="C61" i="3"/>
  <c r="D61" i="3"/>
  <c r="E61" i="3"/>
  <c r="F61" i="3"/>
  <c r="G61" i="3"/>
  <c r="H61" i="3"/>
  <c r="I61" i="3"/>
  <c r="M61" i="3" s="1"/>
  <c r="J61" i="3"/>
  <c r="K61" i="3" s="1"/>
  <c r="L61" i="3"/>
  <c r="C62" i="3"/>
  <c r="D62" i="3"/>
  <c r="E62" i="3"/>
  <c r="F62" i="3"/>
  <c r="G62" i="3"/>
  <c r="H62" i="3"/>
  <c r="I62" i="3"/>
  <c r="J62" i="3"/>
  <c r="K62" i="3"/>
  <c r="L62" i="3"/>
  <c r="M62" i="3"/>
  <c r="N62" i="3" s="1"/>
  <c r="C63" i="3"/>
  <c r="D63" i="3"/>
  <c r="E63" i="3"/>
  <c r="F63" i="3"/>
  <c r="G63" i="3"/>
  <c r="H63" i="3"/>
  <c r="I63" i="3"/>
  <c r="L63" i="3" s="1"/>
  <c r="J63" i="3"/>
  <c r="K63" i="3" s="1"/>
  <c r="C64" i="3"/>
  <c r="D64" i="3"/>
  <c r="E64" i="3"/>
  <c r="F64" i="3"/>
  <c r="G64" i="3"/>
  <c r="H64" i="3"/>
  <c r="I64" i="3"/>
  <c r="M64" i="3" s="1"/>
  <c r="J64" i="3"/>
  <c r="K64" i="3"/>
  <c r="C65" i="3"/>
  <c r="D65" i="3"/>
  <c r="E65" i="3"/>
  <c r="F65" i="3"/>
  <c r="G65" i="3"/>
  <c r="H65" i="3"/>
  <c r="K65" i="3" s="1"/>
  <c r="I65" i="3"/>
  <c r="M65" i="3" s="1"/>
  <c r="J65" i="3"/>
  <c r="C66" i="3"/>
  <c r="D66" i="3"/>
  <c r="E66" i="3"/>
  <c r="F66" i="3"/>
  <c r="G66" i="3"/>
  <c r="H66" i="3"/>
  <c r="K66" i="3" s="1"/>
  <c r="I66" i="3"/>
  <c r="L66" i="3" s="1"/>
  <c r="J66" i="3"/>
  <c r="C67" i="3"/>
  <c r="D67" i="3"/>
  <c r="E67" i="3"/>
  <c r="F67" i="3"/>
  <c r="G67" i="3"/>
  <c r="H67" i="3"/>
  <c r="I67" i="3"/>
  <c r="J67" i="3"/>
  <c r="K67" i="3"/>
  <c r="L67" i="3"/>
  <c r="M67" i="3"/>
  <c r="C68" i="3"/>
  <c r="D68" i="3"/>
  <c r="E68" i="3"/>
  <c r="F68" i="3"/>
  <c r="G68" i="3"/>
  <c r="H68" i="3"/>
  <c r="I68" i="3"/>
  <c r="M68" i="3" s="1"/>
  <c r="J68" i="3"/>
  <c r="K68" i="3" s="1"/>
  <c r="L68" i="3"/>
  <c r="C69" i="3"/>
  <c r="D69" i="3"/>
  <c r="E69" i="3"/>
  <c r="F69" i="3"/>
  <c r="G69" i="3"/>
  <c r="H69" i="3"/>
  <c r="I69" i="3"/>
  <c r="J69" i="3"/>
  <c r="K69" i="3"/>
  <c r="L69" i="3"/>
  <c r="M69" i="3"/>
  <c r="N69" i="3" s="1"/>
  <c r="C70" i="3"/>
  <c r="D70" i="3"/>
  <c r="E70" i="3"/>
  <c r="F70" i="3"/>
  <c r="G70" i="3"/>
  <c r="H70" i="3"/>
  <c r="I70" i="3"/>
  <c r="L70" i="3" s="1"/>
  <c r="J70" i="3"/>
  <c r="K70" i="3" s="1"/>
  <c r="C71" i="3"/>
  <c r="D71" i="3"/>
  <c r="E71" i="3"/>
  <c r="F71" i="3"/>
  <c r="G71" i="3"/>
  <c r="H71" i="3"/>
  <c r="I71" i="3"/>
  <c r="L71" i="3" s="1"/>
  <c r="J71" i="3"/>
  <c r="K71" i="3" s="1"/>
  <c r="C72" i="3"/>
  <c r="D72" i="3"/>
  <c r="E72" i="3"/>
  <c r="F72" i="3"/>
  <c r="G72" i="3"/>
  <c r="H72" i="3"/>
  <c r="I72" i="3"/>
  <c r="M72" i="3" s="1"/>
  <c r="N72" i="3" s="1"/>
  <c r="J72" i="3"/>
  <c r="K72" i="3"/>
  <c r="L72" i="3"/>
  <c r="C73" i="3"/>
  <c r="D73" i="3"/>
  <c r="E73" i="3"/>
  <c r="F73" i="3"/>
  <c r="G73" i="3"/>
  <c r="H73" i="3"/>
  <c r="I73" i="3"/>
  <c r="L73" i="3" s="1"/>
  <c r="J73" i="3"/>
  <c r="K73" i="3"/>
  <c r="M73" i="3"/>
  <c r="C74" i="3"/>
  <c r="D74" i="3"/>
  <c r="E74" i="3"/>
  <c r="F74" i="3"/>
  <c r="G74" i="3"/>
  <c r="H74" i="3"/>
  <c r="I74" i="3"/>
  <c r="J74" i="3"/>
  <c r="K74" i="3"/>
  <c r="L74" i="3"/>
  <c r="M74" i="3"/>
  <c r="N74" i="3" s="1"/>
  <c r="C75" i="3"/>
  <c r="D75" i="3"/>
  <c r="E75" i="3"/>
  <c r="F75" i="3"/>
  <c r="G75" i="3"/>
  <c r="H75" i="3"/>
  <c r="I75" i="3"/>
  <c r="L75" i="3" s="1"/>
  <c r="J75" i="3"/>
  <c r="K75" i="3"/>
  <c r="C76" i="3"/>
  <c r="D76" i="3"/>
  <c r="E76" i="3"/>
  <c r="F76" i="3"/>
  <c r="G76" i="3"/>
  <c r="H76" i="3"/>
  <c r="I76" i="3"/>
  <c r="M76" i="3" s="1"/>
  <c r="J76" i="3"/>
  <c r="K76" i="3" s="1"/>
  <c r="C77" i="3"/>
  <c r="D77" i="3"/>
  <c r="E77" i="3"/>
  <c r="F77" i="3"/>
  <c r="G77" i="3"/>
  <c r="H77" i="3"/>
  <c r="K77" i="3" s="1"/>
  <c r="I77" i="3"/>
  <c r="L77" i="3" s="1"/>
  <c r="J77" i="3"/>
  <c r="C78" i="3"/>
  <c r="D78" i="3"/>
  <c r="E78" i="3"/>
  <c r="F78" i="3"/>
  <c r="G78" i="3"/>
  <c r="H78" i="3"/>
  <c r="K78" i="3" s="1"/>
  <c r="I78" i="3"/>
  <c r="J78" i="3"/>
  <c r="L78" i="3"/>
  <c r="M78" i="3"/>
  <c r="C79" i="3"/>
  <c r="D79" i="3"/>
  <c r="E79" i="3"/>
  <c r="F79" i="3"/>
  <c r="G79" i="3"/>
  <c r="H79" i="3"/>
  <c r="I79" i="3"/>
  <c r="M79" i="3" s="1"/>
  <c r="N79" i="3" s="1"/>
  <c r="J79" i="3"/>
  <c r="K79" i="3"/>
  <c r="L79" i="3"/>
  <c r="C80" i="3"/>
  <c r="D80" i="3"/>
  <c r="E80" i="3"/>
  <c r="F80" i="3"/>
  <c r="G80" i="3"/>
  <c r="H80" i="3"/>
  <c r="I80" i="3"/>
  <c r="L80" i="3" s="1"/>
  <c r="J80" i="3"/>
  <c r="K80" i="3"/>
  <c r="M80" i="3"/>
  <c r="C81" i="3"/>
  <c r="D81" i="3"/>
  <c r="E81" i="3"/>
  <c r="F81" i="3"/>
  <c r="G81" i="3"/>
  <c r="H81" i="3"/>
  <c r="I81" i="3"/>
  <c r="J81" i="3"/>
  <c r="K81" i="3"/>
  <c r="L81" i="3"/>
  <c r="M81" i="3"/>
  <c r="N81" i="3" s="1"/>
  <c r="C82" i="3"/>
  <c r="D82" i="3"/>
  <c r="E82" i="3"/>
  <c r="F82" i="3"/>
  <c r="G82" i="3"/>
  <c r="H82" i="3"/>
  <c r="I82" i="3"/>
  <c r="L82" i="3" s="1"/>
  <c r="J82" i="3"/>
  <c r="K82" i="3" s="1"/>
  <c r="N61" i="3" l="1"/>
  <c r="L65" i="3"/>
  <c r="M53" i="3"/>
  <c r="L40" i="3"/>
  <c r="V40" i="7" s="1"/>
  <c r="J55" i="5"/>
  <c r="K55" i="5" s="1"/>
  <c r="L55" i="5" s="1" a="1"/>
  <c r="L55" i="5" s="1"/>
  <c r="J84" i="6"/>
  <c r="K84" i="6" s="1"/>
  <c r="L84" i="6" s="1" a="1"/>
  <c r="L84" i="6" s="1"/>
  <c r="BI37" i="7"/>
  <c r="K45" i="3"/>
  <c r="BF37" i="7"/>
  <c r="N67" i="3"/>
  <c r="N60" i="3"/>
  <c r="J44" i="5"/>
  <c r="K44" i="5" s="1"/>
  <c r="L44" i="5" s="1" a="1"/>
  <c r="L44" i="5" s="1"/>
  <c r="J38" i="6"/>
  <c r="K38" i="6" s="1"/>
  <c r="L38" i="6" s="1" a="1"/>
  <c r="L38" i="6" s="1"/>
  <c r="J68" i="4"/>
  <c r="L68" i="4" s="1"/>
  <c r="J39" i="4"/>
  <c r="L39" i="4" s="1"/>
  <c r="AL39" i="7" s="1"/>
  <c r="J36" i="4"/>
  <c r="L36" i="4" s="1"/>
  <c r="AL36" i="7" s="1"/>
  <c r="J54" i="5"/>
  <c r="K54" i="5" s="1"/>
  <c r="L54" i="5" s="1" a="1"/>
  <c r="L54" i="5" s="1"/>
  <c r="BT42" i="7"/>
  <c r="L76" i="3"/>
  <c r="K42" i="3"/>
  <c r="T42" i="7" s="1"/>
  <c r="AZ41" i="7"/>
  <c r="L64" i="3"/>
  <c r="N64" i="3" s="1"/>
  <c r="K47" i="3"/>
  <c r="J145" i="4"/>
  <c r="L145" i="4" s="1"/>
  <c r="J32" i="4"/>
  <c r="L32" i="4" s="1"/>
  <c r="AL32" i="7" s="1"/>
  <c r="J51" i="6"/>
  <c r="K51" i="6" s="1"/>
  <c r="L51" i="6" s="1" a="1"/>
  <c r="L51" i="6" s="1"/>
  <c r="BN33" i="7"/>
  <c r="AX41" i="7"/>
  <c r="J92" i="4"/>
  <c r="L92" i="4" s="1"/>
  <c r="J45" i="4"/>
  <c r="L45" i="4" s="1"/>
  <c r="J47" i="6"/>
  <c r="K47" i="6" s="1"/>
  <c r="L47" i="6" s="1" a="1"/>
  <c r="L47" i="6" s="1"/>
  <c r="M66" i="3"/>
  <c r="N66" i="3" s="1"/>
  <c r="N73" i="3"/>
  <c r="K49" i="3"/>
  <c r="J129" i="4"/>
  <c r="L129" i="4" s="1"/>
  <c r="J73" i="4"/>
  <c r="L73" i="4" s="1"/>
  <c r="J54" i="6"/>
  <c r="K54" i="6" s="1"/>
  <c r="L54" i="6" s="1" a="1"/>
  <c r="L54" i="6" s="1"/>
  <c r="J105" i="4"/>
  <c r="L105" i="4" s="1"/>
  <c r="J48" i="4"/>
  <c r="L48" i="4" s="1"/>
  <c r="J38" i="5"/>
  <c r="K38" i="5" s="1"/>
  <c r="L38" i="5" s="1" a="1"/>
  <c r="L38" i="5" s="1"/>
  <c r="BO33" i="7"/>
  <c r="J66" i="5"/>
  <c r="K66" i="5" s="1"/>
  <c r="L66" i="5" s="1" a="1"/>
  <c r="L66" i="5" s="1"/>
  <c r="J81" i="4"/>
  <c r="L81" i="4" s="1"/>
  <c r="K37" i="3"/>
  <c r="T37" i="7" s="1"/>
  <c r="N57" i="3"/>
  <c r="J39" i="5"/>
  <c r="K39" i="5" s="1"/>
  <c r="L39" i="5" s="1" a="1"/>
  <c r="L39" i="5" s="1"/>
  <c r="K54" i="3"/>
  <c r="K58" i="3"/>
  <c r="J54" i="4"/>
  <c r="L54" i="4" s="1"/>
  <c r="J51" i="4"/>
  <c r="L51" i="4" s="1"/>
  <c r="J41" i="5"/>
  <c r="K41" i="5" s="1"/>
  <c r="L41" i="5" s="1" a="1"/>
  <c r="L41" i="5" s="1"/>
  <c r="M77" i="3"/>
  <c r="J84" i="4"/>
  <c r="L84" i="4" s="1"/>
  <c r="M48" i="3"/>
  <c r="J47" i="4"/>
  <c r="L47" i="4" s="1"/>
  <c r="J48" i="5"/>
  <c r="K48" i="5" s="1"/>
  <c r="L48" i="5" s="1" a="1"/>
  <c r="L48" i="5" s="1"/>
  <c r="J13" i="6"/>
  <c r="K13" i="6" s="1"/>
  <c r="L13" i="6" s="1" a="1"/>
  <c r="J17" i="5"/>
  <c r="K17" i="5" s="1"/>
  <c r="L21" i="3"/>
  <c r="V21" i="7" s="1"/>
  <c r="J10" i="6"/>
  <c r="K10" i="6" s="1"/>
  <c r="J27" i="5"/>
  <c r="K27" i="5" s="1"/>
  <c r="L18" i="3"/>
  <c r="V18" i="7" s="1"/>
  <c r="J23" i="5"/>
  <c r="K23" i="5" s="1"/>
  <c r="L23" i="5" s="1" a="1"/>
  <c r="J19" i="5"/>
  <c r="K19" i="5" s="1"/>
  <c r="L13" i="3"/>
  <c r="V13" i="7" s="1"/>
  <c r="L12" i="3"/>
  <c r="V12" i="7" s="1"/>
  <c r="L3" i="3"/>
  <c r="V3" i="7" s="1"/>
  <c r="J11" i="4"/>
  <c r="L11" i="4" s="1"/>
  <c r="AL11" i="7" s="1"/>
  <c r="N48" i="3"/>
  <c r="J44" i="4"/>
  <c r="L44" i="4" s="1"/>
  <c r="N50" i="3"/>
  <c r="J36" i="5"/>
  <c r="K36" i="5" s="1"/>
  <c r="L36" i="5" s="1" a="1"/>
  <c r="L36" i="5" s="1"/>
  <c r="BQ35" i="7"/>
  <c r="M45" i="3"/>
  <c r="M38" i="3"/>
  <c r="N38" i="3" s="1"/>
  <c r="W38" i="7" s="1"/>
  <c r="BO35" i="7"/>
  <c r="BH36" i="7"/>
  <c r="K53" i="3"/>
  <c r="K41" i="3"/>
  <c r="T41" i="7" s="1"/>
  <c r="J36" i="6"/>
  <c r="K36" i="6" s="1"/>
  <c r="L36" i="6" s="1" a="1"/>
  <c r="L36" i="6" s="1"/>
  <c r="AT39" i="7"/>
  <c r="J42" i="5"/>
  <c r="K42" i="5" s="1"/>
  <c r="L42" i="5" s="1" a="1"/>
  <c r="L42" i="5" s="1"/>
  <c r="BF36" i="7"/>
  <c r="BD36" i="7"/>
  <c r="K35" i="3"/>
  <c r="T35" i="7" s="1"/>
  <c r="BC36" i="7"/>
  <c r="M49" i="3"/>
  <c r="N49" i="3" s="1"/>
  <c r="J33" i="4"/>
  <c r="L33" i="4" s="1"/>
  <c r="AL33" i="7" s="1"/>
  <c r="M44" i="3"/>
  <c r="N44" i="3" s="1"/>
  <c r="M37" i="3"/>
  <c r="U37" i="7" s="1"/>
  <c r="J41" i="6"/>
  <c r="K41" i="6" s="1"/>
  <c r="L41" i="6" s="1" a="1"/>
  <c r="L41" i="6" s="1"/>
  <c r="J26" i="5"/>
  <c r="K26" i="5" s="1"/>
  <c r="J28" i="4"/>
  <c r="L28" i="4" s="1"/>
  <c r="L9" i="3"/>
  <c r="V9" i="7" s="1"/>
  <c r="P9" i="12" s="1"/>
  <c r="J28" i="6"/>
  <c r="K28" i="6" s="1"/>
  <c r="L28" i="6" s="1" a="1"/>
  <c r="L28" i="6" s="1"/>
  <c r="J24" i="6"/>
  <c r="K24" i="6" s="1"/>
  <c r="L24" i="6" s="1" a="1"/>
  <c r="L24" i="6" s="1"/>
  <c r="J29" i="5"/>
  <c r="K29" i="5" s="1"/>
  <c r="L29" i="5" s="1" a="1"/>
  <c r="L29" i="5" s="1"/>
  <c r="J21" i="5"/>
  <c r="K21" i="5" s="1"/>
  <c r="BA21" i="7" s="1"/>
  <c r="J22" i="6"/>
  <c r="K22" i="6" s="1"/>
  <c r="L22" i="6" s="1" a="1"/>
  <c r="J29" i="6"/>
  <c r="K29" i="6" s="1"/>
  <c r="L29" i="6" s="1" a="1"/>
  <c r="L29" i="6" s="1"/>
  <c r="K16" i="3"/>
  <c r="T16" i="7" s="1"/>
  <c r="M30" i="3"/>
  <c r="U30" i="7" s="1"/>
  <c r="AS7" i="7"/>
  <c r="M26" i="3"/>
  <c r="U26" i="7" s="1"/>
  <c r="M17" i="3"/>
  <c r="U17" i="7" s="1"/>
  <c r="J29" i="4"/>
  <c r="L29" i="4" s="1"/>
  <c r="AL29" i="7" s="1"/>
  <c r="J21" i="4"/>
  <c r="L21" i="4" s="1"/>
  <c r="BL28" i="7"/>
  <c r="J10" i="5"/>
  <c r="J31" i="6"/>
  <c r="K31" i="6" s="1"/>
  <c r="L31" i="6" s="1" a="1"/>
  <c r="L31" i="6" s="1"/>
  <c r="K31" i="3"/>
  <c r="T31" i="7" s="1"/>
  <c r="L30" i="3"/>
  <c r="V30" i="7" s="1"/>
  <c r="J30" i="6"/>
  <c r="K30" i="6" s="1"/>
  <c r="L30" i="6" s="1" a="1"/>
  <c r="L30" i="6" s="1"/>
  <c r="BP28" i="7"/>
  <c r="K28" i="3"/>
  <c r="T28" i="7" s="1"/>
  <c r="M28" i="3"/>
  <c r="U28" i="7" s="1"/>
  <c r="AL28" i="7"/>
  <c r="BM27" i="7"/>
  <c r="J27" i="6"/>
  <c r="K27" i="6" s="1"/>
  <c r="J26" i="4"/>
  <c r="L26" i="4" s="1"/>
  <c r="M24" i="3"/>
  <c r="U24" i="7" s="1"/>
  <c r="J22" i="5"/>
  <c r="K22" i="5" s="1"/>
  <c r="L22" i="5" s="1" a="1"/>
  <c r="J25" i="6"/>
  <c r="K25" i="6" s="1"/>
  <c r="L25" i="6" s="1" a="1"/>
  <c r="L25" i="6" s="1"/>
  <c r="M20" i="3"/>
  <c r="U20" i="7" s="1"/>
  <c r="J20" i="6"/>
  <c r="K20" i="6" s="1"/>
  <c r="L20" i="6" s="1" a="1"/>
  <c r="L25" i="3"/>
  <c r="V25" i="7" s="1"/>
  <c r="J17" i="6"/>
  <c r="K17" i="6" s="1"/>
  <c r="L19" i="3"/>
  <c r="V19" i="7" s="1"/>
  <c r="M18" i="3"/>
  <c r="U18" i="7" s="1"/>
  <c r="J17" i="4"/>
  <c r="L17" i="4" s="1"/>
  <c r="L15" i="3"/>
  <c r="V15" i="7" s="1"/>
  <c r="J15" i="5"/>
  <c r="K15" i="5" s="1"/>
  <c r="J15" i="6"/>
  <c r="K15" i="6" s="1"/>
  <c r="M16" i="3"/>
  <c r="U16" i="7" s="1"/>
  <c r="L7" i="3"/>
  <c r="V7" i="7" s="1"/>
  <c r="P7" i="12" s="1"/>
  <c r="BD14" i="7"/>
  <c r="K14" i="3"/>
  <c r="T14" i="7" s="1"/>
  <c r="K11" i="3"/>
  <c r="T11" i="7" s="1"/>
  <c r="J14" i="4"/>
  <c r="L14" i="4" s="1"/>
  <c r="J11" i="5"/>
  <c r="K11" i="5" s="1"/>
  <c r="L11" i="5" s="1" a="1"/>
  <c r="J12" i="6"/>
  <c r="K12" i="6" s="1"/>
  <c r="L12" i="6" s="1" a="1"/>
  <c r="J13" i="4"/>
  <c r="L13" i="4" s="1"/>
  <c r="J14" i="5"/>
  <c r="K14" i="5" s="1"/>
  <c r="J13" i="5"/>
  <c r="K13" i="5" s="1"/>
  <c r="BA13" i="7" s="1"/>
  <c r="J14" i="6"/>
  <c r="K14" i="6" s="1"/>
  <c r="J23" i="6"/>
  <c r="K23" i="6" s="1"/>
  <c r="L23" i="6" s="1" a="1"/>
  <c r="AT7" i="7"/>
  <c r="AW21" i="7"/>
  <c r="K34" i="3"/>
  <c r="T34" i="7" s="1"/>
  <c r="J20" i="5"/>
  <c r="K20" i="5" s="1"/>
  <c r="L20" i="5" s="1" a="1"/>
  <c r="BM9" i="7"/>
  <c r="AU21" i="7"/>
  <c r="J25" i="4"/>
  <c r="L25" i="4" s="1"/>
  <c r="BL9" i="7"/>
  <c r="AT21" i="7"/>
  <c r="BQ23" i="7"/>
  <c r="K13" i="3"/>
  <c r="T13" i="7" s="1"/>
  <c r="K33" i="3"/>
  <c r="T33" i="7" s="1"/>
  <c r="P5" i="7"/>
  <c r="BH21" i="7"/>
  <c r="K24" i="3"/>
  <c r="T24" i="7" s="1"/>
  <c r="J19" i="4"/>
  <c r="L19" i="4" s="1"/>
  <c r="BE31" i="7"/>
  <c r="BC31" i="7"/>
  <c r="J30" i="4"/>
  <c r="L30" i="4" s="1"/>
  <c r="AZ31" i="7"/>
  <c r="BR7" i="7"/>
  <c r="AY31" i="7"/>
  <c r="BQ19" i="7"/>
  <c r="J22" i="4"/>
  <c r="L22" i="4" s="1"/>
  <c r="BB7" i="7"/>
  <c r="BR33" i="7"/>
  <c r="AS31" i="7"/>
  <c r="BL19" i="7"/>
  <c r="K26" i="3"/>
  <c r="T26" i="7" s="1"/>
  <c r="J3" i="4"/>
  <c r="L3" i="4" s="1"/>
  <c r="AU7" i="7"/>
  <c r="BP33" i="7"/>
  <c r="BJ37" i="7"/>
  <c r="BQ28" i="7"/>
  <c r="BC41" i="7"/>
  <c r="AV38" i="7"/>
  <c r="BB31" i="7"/>
  <c r="BI28" i="7"/>
  <c r="BH34" i="7"/>
  <c r="BA31" i="7"/>
  <c r="BR43" i="7"/>
  <c r="BS42" i="7"/>
  <c r="BS19" i="7"/>
  <c r="BP43" i="7"/>
  <c r="AT42" i="7"/>
  <c r="BO38" i="7"/>
  <c r="BS43" i="7"/>
  <c r="BO37" i="7"/>
  <c r="BR19" i="7"/>
  <c r="BN43" i="7"/>
  <c r="AS42" i="7"/>
  <c r="BK41" i="7"/>
  <c r="BJ3" i="7"/>
  <c r="BJ43" i="7"/>
  <c r="BH14" i="7"/>
  <c r="BI3" i="7"/>
  <c r="BK22" i="7"/>
  <c r="BI43" i="7"/>
  <c r="AU19" i="7"/>
  <c r="BA43" i="7"/>
  <c r="BK43" i="7"/>
  <c r="AZ43" i="7"/>
  <c r="AY43" i="7"/>
  <c r="AX43" i="7"/>
  <c r="BT35" i="7"/>
  <c r="AW43" i="7"/>
  <c r="BS7" i="7"/>
  <c r="AV43" i="7"/>
  <c r="AT43" i="7"/>
  <c r="BH42" i="7"/>
  <c r="BC7" i="7"/>
  <c r="BA26" i="7"/>
  <c r="AZ38" i="7"/>
  <c r="BM37" i="7"/>
  <c r="AY38" i="7"/>
  <c r="AT12" i="7"/>
  <c r="AS12" i="7"/>
  <c r="AV7" i="7"/>
  <c r="BD41" i="7"/>
  <c r="AX38" i="7"/>
  <c r="BN3" i="7"/>
  <c r="BR35" i="7"/>
  <c r="AS35" i="7"/>
  <c r="AS34" i="7"/>
  <c r="BT43" i="7"/>
  <c r="AU42" i="7"/>
  <c r="BE41" i="7"/>
  <c r="BA39" i="7"/>
  <c r="BH38" i="7"/>
  <c r="BN35" i="7"/>
  <c r="AZ26" i="7"/>
  <c r="BM19" i="7"/>
  <c r="BO43" i="7"/>
  <c r="AY41" i="7"/>
  <c r="AW39" i="7"/>
  <c r="AW38" i="7"/>
  <c r="BI35" i="7"/>
  <c r="AS28" i="7"/>
  <c r="BI23" i="7"/>
  <c r="BH43" i="7"/>
  <c r="BR42" i="7"/>
  <c r="BH35" i="7"/>
  <c r="BQ42" i="7"/>
  <c r="BT39" i="7"/>
  <c r="BD35" i="7"/>
  <c r="BR34" i="7"/>
  <c r="BN42" i="7"/>
  <c r="BQ39" i="7"/>
  <c r="BH37" i="7"/>
  <c r="BA35" i="7"/>
  <c r="BN34" i="7"/>
  <c r="AU43" i="7"/>
  <c r="BJ42" i="7"/>
  <c r="BO41" i="7"/>
  <c r="BM39" i="7"/>
  <c r="BK39" i="7"/>
  <c r="BK35" i="7"/>
  <c r="BF35" i="7"/>
  <c r="BO42" i="7"/>
  <c r="BC35" i="7"/>
  <c r="BP41" i="7"/>
  <c r="BN39" i="7"/>
  <c r="BI34" i="7"/>
  <c r="BI42" i="7"/>
  <c r="AY35" i="7"/>
  <c r="AX35" i="7"/>
  <c r="BE34" i="7"/>
  <c r="BJ22" i="7"/>
  <c r="BE42" i="7"/>
  <c r="BL41" i="7"/>
  <c r="BJ40" i="7"/>
  <c r="BF39" i="7"/>
  <c r="BT38" i="7"/>
  <c r="BO40" i="7"/>
  <c r="AZ35" i="7"/>
  <c r="AS43" i="7"/>
  <c r="BM41" i="7"/>
  <c r="BK40" i="7"/>
  <c r="BH39" i="7"/>
  <c r="AW35" i="7"/>
  <c r="AY34" i="7"/>
  <c r="BI22" i="7"/>
  <c r="BD42" i="7"/>
  <c r="BI40" i="7"/>
  <c r="BE39" i="7"/>
  <c r="BL35" i="7"/>
  <c r="BP42" i="7"/>
  <c r="BE35" i="7"/>
  <c r="BS34" i="7"/>
  <c r="BT41" i="7"/>
  <c r="BP34" i="7"/>
  <c r="BK42" i="7"/>
  <c r="BN41" i="7"/>
  <c r="BL39" i="7"/>
  <c r="AV35" i="7"/>
  <c r="AX34" i="7"/>
  <c r="BC42" i="7"/>
  <c r="BJ41" i="7"/>
  <c r="BH40" i="7"/>
  <c r="BD39" i="7"/>
  <c r="BN38" i="7"/>
  <c r="AU35" i="7"/>
  <c r="BB42" i="7"/>
  <c r="BI41" i="7"/>
  <c r="AZ40" i="7"/>
  <c r="BC39" i="7"/>
  <c r="BJ38" i="7"/>
  <c r="BJ35" i="7"/>
  <c r="BQ34" i="7"/>
  <c r="BH19" i="7"/>
  <c r="BM42" i="7"/>
  <c r="BO39" i="7"/>
  <c r="BB35" i="7"/>
  <c r="BK38" i="7"/>
  <c r="BH7" i="7"/>
  <c r="AW34" i="7"/>
  <c r="BS24" i="7"/>
  <c r="BH4" i="7"/>
  <c r="BS35" i="7"/>
  <c r="AV34" i="7"/>
  <c r="BL24" i="7"/>
  <c r="AV42" i="7"/>
  <c r="BH41" i="7"/>
  <c r="BB39" i="7"/>
  <c r="BI38" i="7"/>
  <c r="AU34" i="7"/>
  <c r="AT34" i="7"/>
  <c r="M33" i="3"/>
  <c r="U33" i="7" s="1"/>
  <c r="J34" i="5"/>
  <c r="K34" i="5" s="1"/>
  <c r="L34" i="5" s="1" a="1"/>
  <c r="L34" i="5" s="1"/>
  <c r="BK34" i="7"/>
  <c r="J33" i="5"/>
  <c r="K33" i="5" s="1"/>
  <c r="L33" i="5" s="1" a="1"/>
  <c r="L33" i="5" s="1"/>
  <c r="BS33" i="7"/>
  <c r="K34" i="6"/>
  <c r="L34" i="6" s="1" a="1"/>
  <c r="L34" i="6" s="1"/>
  <c r="BO34" i="7"/>
  <c r="BQ33" i="7"/>
  <c r="BT33" i="7"/>
  <c r="BM33" i="7"/>
  <c r="BL33" i="7"/>
  <c r="BK33" i="7"/>
  <c r="BJ33" i="7"/>
  <c r="BI33" i="7"/>
  <c r="BH33" i="7"/>
  <c r="BC33" i="7"/>
  <c r="BB33" i="7"/>
  <c r="AZ33" i="7"/>
  <c r="AY33" i="7"/>
  <c r="AT33" i="7"/>
  <c r="AS33" i="7"/>
  <c r="J32" i="6"/>
  <c r="K32" i="6" s="1"/>
  <c r="L32" i="6" s="1" a="1"/>
  <c r="L32" i="6" s="1"/>
  <c r="M32" i="3"/>
  <c r="U32" i="7" s="1"/>
  <c r="J32" i="5"/>
  <c r="K32" i="5" s="1"/>
  <c r="L32" i="5" s="1" a="1"/>
  <c r="L32" i="5" s="1"/>
  <c r="J31" i="5"/>
  <c r="K31" i="5" s="1"/>
  <c r="L31" i="5" s="1" a="1"/>
  <c r="L31" i="5" s="1"/>
  <c r="J31" i="4"/>
  <c r="L31" i="4" s="1"/>
  <c r="M31" i="3"/>
  <c r="K30" i="3"/>
  <c r="T30" i="7" s="1"/>
  <c r="BK31" i="7"/>
  <c r="J30" i="5"/>
  <c r="K30" i="5" s="1"/>
  <c r="L30" i="5" s="1" a="1"/>
  <c r="L30" i="5" s="1"/>
  <c r="BR31" i="7"/>
  <c r="BI31" i="7"/>
  <c r="BH31" i="7"/>
  <c r="BF31" i="7"/>
  <c r="L29" i="3"/>
  <c r="V29" i="7" s="1"/>
  <c r="BK29" i="7"/>
  <c r="K29" i="3"/>
  <c r="T29" i="7" s="1"/>
  <c r="BT29" i="7"/>
  <c r="BR29" i="7"/>
  <c r="BQ29" i="7"/>
  <c r="BP29" i="7"/>
  <c r="AX29" i="7"/>
  <c r="AV29" i="7"/>
  <c r="AU29" i="7"/>
  <c r="BN29" i="7"/>
  <c r="BH29" i="7"/>
  <c r="BO29" i="7"/>
  <c r="AS29" i="7"/>
  <c r="M29" i="3"/>
  <c r="U29" i="7" s="1"/>
  <c r="N40" i="3"/>
  <c r="N77" i="3"/>
  <c r="N36" i="3"/>
  <c r="N65" i="3"/>
  <c r="N43" i="3"/>
  <c r="N56" i="3"/>
  <c r="N53" i="3"/>
  <c r="N41" i="3"/>
  <c r="N80" i="3"/>
  <c r="N68" i="3"/>
  <c r="N76" i="3"/>
  <c r="N42" i="3"/>
  <c r="N78" i="3"/>
  <c r="N54" i="3"/>
  <c r="BH27" i="7"/>
  <c r="BC24" i="7"/>
  <c r="J27" i="4"/>
  <c r="L27" i="4" s="1"/>
  <c r="BR28" i="7"/>
  <c r="BB26" i="7"/>
  <c r="BB24" i="7"/>
  <c r="BH25" i="7"/>
  <c r="K25" i="3"/>
  <c r="T25" i="7" s="1"/>
  <c r="L26" i="3"/>
  <c r="V26" i="7" s="1"/>
  <c r="AW24" i="7"/>
  <c r="M25" i="3"/>
  <c r="U25" i="7" s="1"/>
  <c r="J26" i="6"/>
  <c r="K26" i="6" s="1"/>
  <c r="L26" i="6" s="1" a="1"/>
  <c r="L26" i="6" s="1"/>
  <c r="L24" i="3"/>
  <c r="V24" i="7" s="1"/>
  <c r="J25" i="5"/>
  <c r="K25" i="5" s="1"/>
  <c r="L25" i="5" s="1" a="1"/>
  <c r="L25" i="5" s="1"/>
  <c r="AV24" i="7"/>
  <c r="BH26" i="7"/>
  <c r="K27" i="3"/>
  <c r="T27" i="7" s="1"/>
  <c r="J28" i="5"/>
  <c r="K28" i="5" s="1"/>
  <c r="L28" i="5" s="1" a="1"/>
  <c r="L28" i="5" s="1"/>
  <c r="BI25" i="7"/>
  <c r="J24" i="5"/>
  <c r="K24" i="5" s="1"/>
  <c r="L24" i="5" s="1" a="1"/>
  <c r="L24" i="5" s="1"/>
  <c r="BB25" i="7"/>
  <c r="BK24" i="7"/>
  <c r="BS25" i="7"/>
  <c r="J24" i="4"/>
  <c r="L24" i="4" s="1"/>
  <c r="BT24" i="7"/>
  <c r="L27" i="3"/>
  <c r="V27" i="7" s="1"/>
  <c r="AT25" i="7"/>
  <c r="BH28" i="7"/>
  <c r="AS25" i="7"/>
  <c r="BB28" i="7"/>
  <c r="BJ24" i="7"/>
  <c r="BH24" i="7"/>
  <c r="BE24" i="7"/>
  <c r="BR25" i="7"/>
  <c r="BQ25" i="7"/>
  <c r="BO25" i="7"/>
  <c r="BP25" i="7"/>
  <c r="AU24" i="7"/>
  <c r="L28" i="3"/>
  <c r="V28" i="7" s="1"/>
  <c r="BL25" i="7"/>
  <c r="AT24" i="7"/>
  <c r="BK25" i="7"/>
  <c r="AS24" i="7"/>
  <c r="AZ25" i="7"/>
  <c r="BR24" i="7"/>
  <c r="BO28" i="7"/>
  <c r="BK27" i="7"/>
  <c r="AY25" i="7"/>
  <c r="BQ24" i="7"/>
  <c r="BM28" i="7"/>
  <c r="AX25" i="7"/>
  <c r="BP24" i="7"/>
  <c r="AW25" i="7"/>
  <c r="BO24" i="7"/>
  <c r="BK28" i="7"/>
  <c r="AV25" i="7"/>
  <c r="BN24" i="7"/>
  <c r="BJ28" i="7"/>
  <c r="AU25" i="7"/>
  <c r="BM24" i="7"/>
  <c r="AQ38" i="7"/>
  <c r="AQ37" i="7"/>
  <c r="AQ36" i="7"/>
  <c r="AQ35" i="7"/>
  <c r="AQ34" i="7"/>
  <c r="AQ33" i="7"/>
  <c r="AQ32" i="7"/>
  <c r="AQ41" i="7"/>
  <c r="AQ40" i="7"/>
  <c r="AQ43" i="7"/>
  <c r="AQ42" i="7"/>
  <c r="AQ39" i="7"/>
  <c r="AB38" i="7"/>
  <c r="BL22" i="7"/>
  <c r="AX21" i="7"/>
  <c r="L17" i="3"/>
  <c r="V17" i="7" s="1"/>
  <c r="BH18" i="7"/>
  <c r="J21" i="6"/>
  <c r="K21" i="6" s="1"/>
  <c r="BL23" i="7"/>
  <c r="BS21" i="7"/>
  <c r="BP19" i="7"/>
  <c r="BN23" i="7"/>
  <c r="J23" i="4"/>
  <c r="L23" i="4" s="1"/>
  <c r="BJ23" i="7"/>
  <c r="BR21" i="7"/>
  <c r="BS20" i="7"/>
  <c r="BN19" i="7"/>
  <c r="BQ21" i="7"/>
  <c r="BQ20" i="7"/>
  <c r="BP21" i="7"/>
  <c r="BI21" i="7"/>
  <c r="AY20" i="7"/>
  <c r="BO20" i="7"/>
  <c r="BN21" i="7"/>
  <c r="BM21" i="7"/>
  <c r="AZ20" i="7"/>
  <c r="BE21" i="7"/>
  <c r="AX20" i="7"/>
  <c r="J18" i="4"/>
  <c r="L18" i="4" s="1"/>
  <c r="BD21" i="7"/>
  <c r="AV20" i="7"/>
  <c r="BC21" i="7"/>
  <c r="AU20" i="7"/>
  <c r="BB21" i="7"/>
  <c r="AS20" i="7"/>
  <c r="BP20" i="7"/>
  <c r="L20" i="3"/>
  <c r="V20" i="7" s="1"/>
  <c r="M23" i="3"/>
  <c r="U23" i="7" s="1"/>
  <c r="J19" i="6"/>
  <c r="BO19" i="7" s="1"/>
  <c r="BR22" i="7"/>
  <c r="AY21" i="7"/>
  <c r="BH20" i="7"/>
  <c r="BK20" i="7"/>
  <c r="BH22" i="7"/>
  <c r="BE22" i="7"/>
  <c r="K21" i="3"/>
  <c r="T21" i="7" s="1"/>
  <c r="BD22" i="7"/>
  <c r="AT19" i="7"/>
  <c r="K19" i="3"/>
  <c r="T19" i="7" s="1"/>
  <c r="BC22" i="7"/>
  <c r="BB22" i="7"/>
  <c r="AV21" i="7"/>
  <c r="AT20" i="7"/>
  <c r="BK23" i="7"/>
  <c r="K23" i="3"/>
  <c r="T23" i="7" s="1"/>
  <c r="AS21" i="7"/>
  <c r="J18" i="6"/>
  <c r="K18" i="6" s="1"/>
  <c r="L18" i="6" s="1" a="1"/>
  <c r="L18" i="6" s="1"/>
  <c r="K20" i="3"/>
  <c r="BC19" i="7"/>
  <c r="BN18" i="7"/>
  <c r="BC17" i="7"/>
  <c r="BB19" i="7"/>
  <c r="BK18" i="7"/>
  <c r="BB17" i="7"/>
  <c r="J18" i="5"/>
  <c r="K18" i="5" s="1"/>
  <c r="BA19" i="7"/>
  <c r="BJ18" i="7"/>
  <c r="AZ19" i="7"/>
  <c r="BI18" i="7"/>
  <c r="M19" i="3"/>
  <c r="U19" i="7" s="1"/>
  <c r="AX19" i="7"/>
  <c r="M21" i="3"/>
  <c r="U21" i="7" s="1"/>
  <c r="K17" i="3"/>
  <c r="AZ21" i="7"/>
  <c r="BR20" i="7"/>
  <c r="AV19" i="7"/>
  <c r="AS19" i="7"/>
  <c r="BH23" i="7"/>
  <c r="BK19" i="7"/>
  <c r="BJ19" i="7"/>
  <c r="K18" i="3"/>
  <c r="AV22" i="7"/>
  <c r="BL21" i="7"/>
  <c r="BI19" i="7"/>
  <c r="BK17" i="7"/>
  <c r="J20" i="4"/>
  <c r="L20" i="4" s="1"/>
  <c r="K22" i="3"/>
  <c r="T22" i="7" s="1"/>
  <c r="AS22" i="7"/>
  <c r="BK21" i="7"/>
  <c r="BI17" i="7"/>
  <c r="L22" i="3"/>
  <c r="V22" i="7" s="1"/>
  <c r="BH17" i="7"/>
  <c r="BE19" i="7"/>
  <c r="BE17" i="7"/>
  <c r="BD19" i="7"/>
  <c r="BP18" i="7"/>
  <c r="BD17" i="7"/>
  <c r="J15" i="4"/>
  <c r="L15" i="4" s="1"/>
  <c r="J16" i="6"/>
  <c r="K16" i="6" s="1"/>
  <c r="L16" i="6" s="1" a="1"/>
  <c r="K15" i="3"/>
  <c r="T15" i="7" s="1"/>
  <c r="J16" i="4"/>
  <c r="L16" i="4" s="1"/>
  <c r="J16" i="5"/>
  <c r="K16" i="5" s="1"/>
  <c r="BR15" i="7"/>
  <c r="BH15" i="7"/>
  <c r="BS15" i="7"/>
  <c r="BP15" i="7"/>
  <c r="BN15" i="7"/>
  <c r="AX15" i="7"/>
  <c r="AW15" i="7"/>
  <c r="AV15" i="7"/>
  <c r="AU15" i="7"/>
  <c r="AT15" i="7"/>
  <c r="BQ15" i="7"/>
  <c r="AS15" i="7"/>
  <c r="BM16" i="7"/>
  <c r="BL16" i="7"/>
  <c r="BH16" i="7"/>
  <c r="AU16" i="7"/>
  <c r="AS16" i="7"/>
  <c r="BI15" i="7"/>
  <c r="BD16" i="7"/>
  <c r="BK15" i="7"/>
  <c r="BB16" i="7"/>
  <c r="BS16" i="7"/>
  <c r="AZ16" i="7"/>
  <c r="BK16" i="7"/>
  <c r="AY16" i="7"/>
  <c r="BR16" i="7"/>
  <c r="BP16" i="7"/>
  <c r="BD15" i="7"/>
  <c r="BE16" i="7"/>
  <c r="AW16" i="7"/>
  <c r="BM15" i="7"/>
  <c r="BJ15" i="7"/>
  <c r="BE15" i="7"/>
  <c r="L16" i="3"/>
  <c r="V16" i="7" s="1"/>
  <c r="AZ15" i="7"/>
  <c r="BJ16" i="7"/>
  <c r="BC16" i="7"/>
  <c r="AV16" i="7"/>
  <c r="BN16" i="7"/>
  <c r="AX16" i="7"/>
  <c r="AU12" i="7"/>
  <c r="M12" i="3"/>
  <c r="U12" i="7" s="1"/>
  <c r="L14" i="3"/>
  <c r="V14" i="7" s="1"/>
  <c r="M11" i="3"/>
  <c r="U11" i="7" s="1"/>
  <c r="AV13" i="7"/>
  <c r="BM11" i="7"/>
  <c r="L10" i="3"/>
  <c r="V10" i="7" s="1"/>
  <c r="BL10" i="7"/>
  <c r="BL12" i="7"/>
  <c r="J11" i="6"/>
  <c r="K11" i="6" s="1"/>
  <c r="L11" i="6" s="1" a="1"/>
  <c r="AV12" i="7"/>
  <c r="AW13" i="7"/>
  <c r="BH13" i="7"/>
  <c r="M13" i="3"/>
  <c r="U13" i="7" s="1"/>
  <c r="BK14" i="7"/>
  <c r="BS12" i="7"/>
  <c r="M14" i="3"/>
  <c r="U14" i="7" s="1"/>
  <c r="K10" i="3"/>
  <c r="T10" i="7" s="1"/>
  <c r="BR12" i="7"/>
  <c r="BL13" i="7"/>
  <c r="J12" i="5"/>
  <c r="K12" i="5" s="1"/>
  <c r="BK13" i="7"/>
  <c r="BJ13" i="7"/>
  <c r="BI13" i="7"/>
  <c r="BQ13" i="7"/>
  <c r="BP13" i="7"/>
  <c r="BK12" i="7"/>
  <c r="BB13" i="7"/>
  <c r="K12" i="3"/>
  <c r="T12" i="7" s="1"/>
  <c r="J10" i="4"/>
  <c r="L10" i="4" s="1"/>
  <c r="AZ13" i="7"/>
  <c r="AY13" i="7"/>
  <c r="BL11" i="7"/>
  <c r="AX11" i="7"/>
  <c r="BH12" i="7"/>
  <c r="AV11" i="7"/>
  <c r="BE12" i="7"/>
  <c r="AT11" i="7"/>
  <c r="AW11" i="7"/>
  <c r="BD12" i="7"/>
  <c r="AS11" i="7"/>
  <c r="AZ11" i="7"/>
  <c r="BJ11" i="7"/>
  <c r="BJ12" i="7"/>
  <c r="AY11" i="7"/>
  <c r="BI12" i="7"/>
  <c r="BC12" i="7"/>
  <c r="BS11" i="7"/>
  <c r="BB12" i="7"/>
  <c r="BR11" i="7"/>
  <c r="BK11" i="7"/>
  <c r="BQ11" i="7"/>
  <c r="AY12" i="7"/>
  <c r="BP11" i="7"/>
  <c r="AX12" i="7"/>
  <c r="AW12" i="7"/>
  <c r="BN11" i="7"/>
  <c r="BI11" i="7"/>
  <c r="BQ12" i="7"/>
  <c r="BH11" i="7"/>
  <c r="BP12" i="7"/>
  <c r="BE11" i="7"/>
  <c r="BN12" i="7"/>
  <c r="BD11" i="7"/>
  <c r="J12" i="4"/>
  <c r="L12" i="4" s="1"/>
  <c r="AX13" i="7"/>
  <c r="BM12" i="7"/>
  <c r="BC11" i="7"/>
  <c r="BI10" i="7"/>
  <c r="J9" i="4"/>
  <c r="L9" i="4" s="1"/>
  <c r="J5" i="4"/>
  <c r="L5" i="4" s="1"/>
  <c r="J6" i="6"/>
  <c r="K6" i="6" s="1"/>
  <c r="L6" i="6" s="1" a="1"/>
  <c r="P7" i="7"/>
  <c r="P8" i="7"/>
  <c r="BN6" i="7"/>
  <c r="BM6" i="7"/>
  <c r="BL6" i="7"/>
  <c r="BJ6" i="7"/>
  <c r="J7" i="4"/>
  <c r="L7" i="4" s="1"/>
  <c r="J5" i="5"/>
  <c r="K5" i="5" s="1"/>
  <c r="BI6" i="7"/>
  <c r="BI9" i="7"/>
  <c r="BH6" i="7"/>
  <c r="BP9" i="7"/>
  <c r="BE7" i="7"/>
  <c r="BP6" i="7"/>
  <c r="J7" i="6"/>
  <c r="K7" i="6" s="1"/>
  <c r="L7" i="6" s="1" a="1"/>
  <c r="BD7" i="7"/>
  <c r="BN9" i="7"/>
  <c r="BC9" i="7"/>
  <c r="AY6" i="7"/>
  <c r="AY9" i="7"/>
  <c r="BI8" i="7"/>
  <c r="AX6" i="7"/>
  <c r="BK6" i="7"/>
  <c r="BD6" i="7"/>
  <c r="AZ6" i="7"/>
  <c r="BC6" i="7"/>
  <c r="BB9" i="7"/>
  <c r="AZ8" i="7"/>
  <c r="J8" i="6"/>
  <c r="K8" i="6" s="1"/>
  <c r="L8" i="6" s="1" a="1"/>
  <c r="AT9" i="7"/>
  <c r="AY8" i="7"/>
  <c r="BN7" i="7"/>
  <c r="BE6" i="7"/>
  <c r="BP8" i="7"/>
  <c r="BB6" i="7"/>
  <c r="BK8" i="7"/>
  <c r="BJ8" i="7"/>
  <c r="AV9" i="7"/>
  <c r="BP7" i="7"/>
  <c r="AV6" i="7"/>
  <c r="AU9" i="7"/>
  <c r="AU6" i="7"/>
  <c r="AS9" i="7"/>
  <c r="P9" i="7"/>
  <c r="AX8" i="7"/>
  <c r="BK7" i="7"/>
  <c r="BK9" i="7"/>
  <c r="BH9" i="7"/>
  <c r="AZ9" i="7"/>
  <c r="BH8" i="7"/>
  <c r="AW8" i="7"/>
  <c r="BJ7" i="7"/>
  <c r="BD9" i="7"/>
  <c r="BE9" i="7"/>
  <c r="AX9" i="7"/>
  <c r="BQ7" i="7"/>
  <c r="AW6" i="7"/>
  <c r="BS9" i="7"/>
  <c r="AV8" i="7"/>
  <c r="BI7" i="7"/>
  <c r="BR9" i="7"/>
  <c r="BS4" i="7"/>
  <c r="BR4" i="7"/>
  <c r="BQ4" i="7"/>
  <c r="BN4" i="7"/>
  <c r="BM4" i="7"/>
  <c r="BK4" i="7"/>
  <c r="BJ4" i="7"/>
  <c r="BE4" i="7"/>
  <c r="BD4" i="7"/>
  <c r="BC4" i="7"/>
  <c r="BB4" i="7"/>
  <c r="AZ4" i="7"/>
  <c r="AY4" i="7"/>
  <c r="AX4" i="7"/>
  <c r="AU4" i="7"/>
  <c r="AT4" i="7"/>
  <c r="AW4" i="7"/>
  <c r="BL4" i="7"/>
  <c r="BS3" i="7"/>
  <c r="BK3" i="7"/>
  <c r="AX3" i="7"/>
  <c r="AW3" i="7"/>
  <c r="AV3" i="7"/>
  <c r="AZ3" i="7"/>
  <c r="AY3" i="7"/>
  <c r="AU3" i="7"/>
  <c r="BH3" i="7"/>
  <c r="BF40" i="7"/>
  <c r="BE40" i="7"/>
  <c r="BD40" i="7"/>
  <c r="BS38" i="7"/>
  <c r="AT38" i="7"/>
  <c r="BC40" i="7"/>
  <c r="BR38" i="7"/>
  <c r="AS38" i="7"/>
  <c r="BB40" i="7"/>
  <c r="BQ38" i="7"/>
  <c r="BQ43" i="7"/>
  <c r="BL42" i="7"/>
  <c r="BF41" i="7"/>
  <c r="BA40" i="7"/>
  <c r="AV39" i="7"/>
  <c r="BP38" i="7"/>
  <c r="AY40" i="7"/>
  <c r="AX40" i="7"/>
  <c r="BM38" i="7"/>
  <c r="BM43" i="7"/>
  <c r="BB41" i="7"/>
  <c r="AW40" i="7"/>
  <c r="BL38" i="7"/>
  <c r="BL43" i="7"/>
  <c r="BF42" i="7"/>
  <c r="BA41" i="7"/>
  <c r="AV40" i="7"/>
  <c r="BP39" i="7"/>
  <c r="BT40" i="7"/>
  <c r="AU40" i="7"/>
  <c r="BS40" i="7"/>
  <c r="AS40" i="7"/>
  <c r="BR40" i="7"/>
  <c r="AW41" i="7"/>
  <c r="BQ40" i="7"/>
  <c r="BF38" i="7"/>
  <c r="BF43" i="7"/>
  <c r="BA42" i="7"/>
  <c r="AV41" i="7"/>
  <c r="BP40" i="7"/>
  <c r="BE38" i="7"/>
  <c r="BE43" i="7"/>
  <c r="AZ42" i="7"/>
  <c r="AU41" i="7"/>
  <c r="BJ39" i="7"/>
  <c r="BD38" i="7"/>
  <c r="AT40" i="7"/>
  <c r="BD43" i="7"/>
  <c r="AY42" i="7"/>
  <c r="BS41" i="7"/>
  <c r="AT41" i="7"/>
  <c r="BN40" i="7"/>
  <c r="BC38" i="7"/>
  <c r="BC43" i="7"/>
  <c r="AX42" i="7"/>
  <c r="BR41" i="7"/>
  <c r="AS41" i="7"/>
  <c r="BM40" i="7"/>
  <c r="BB38" i="7"/>
  <c r="BO32" i="7"/>
  <c r="BT32" i="7"/>
  <c r="BK32" i="7"/>
  <c r="BP32" i="7"/>
  <c r="BQ32" i="7"/>
  <c r="AS32" i="7"/>
  <c r="BR32" i="7"/>
  <c r="AT32" i="7"/>
  <c r="BS32" i="7"/>
  <c r="AU32" i="7"/>
  <c r="AX32" i="7"/>
  <c r="AV32" i="7"/>
  <c r="AW32" i="7"/>
  <c r="AY32" i="7"/>
  <c r="AZ32" i="7"/>
  <c r="BA32" i="7"/>
  <c r="BB32" i="7"/>
  <c r="BC32" i="7"/>
  <c r="BD32" i="7"/>
  <c r="BE32" i="7"/>
  <c r="BJ32" i="7"/>
  <c r="BM32" i="7"/>
  <c r="BN32" i="7"/>
  <c r="BL32" i="7"/>
  <c r="BI32" i="7"/>
  <c r="BH32" i="7"/>
  <c r="BK36" i="7"/>
  <c r="BO36" i="7"/>
  <c r="BT36" i="7"/>
  <c r="BL36" i="7"/>
  <c r="BM36" i="7"/>
  <c r="BN36" i="7"/>
  <c r="BP36" i="7"/>
  <c r="AT36" i="7"/>
  <c r="BS36" i="7"/>
  <c r="BA36" i="7"/>
  <c r="BQ36" i="7"/>
  <c r="AS36" i="7"/>
  <c r="BR36" i="7"/>
  <c r="AU36" i="7"/>
  <c r="AV36" i="7"/>
  <c r="AW36" i="7"/>
  <c r="AX36" i="7"/>
  <c r="AY36" i="7"/>
  <c r="AZ36" i="7"/>
  <c r="BE36" i="7"/>
  <c r="BI36" i="7"/>
  <c r="BK26" i="7"/>
  <c r="BI26" i="7"/>
  <c r="BJ26" i="7"/>
  <c r="BL26" i="7"/>
  <c r="BM26" i="7"/>
  <c r="BN26" i="7"/>
  <c r="BQ26" i="7"/>
  <c r="BP26" i="7"/>
  <c r="AS26" i="7"/>
  <c r="BR26" i="7"/>
  <c r="AT26" i="7"/>
  <c r="BS26" i="7"/>
  <c r="AU26" i="7"/>
  <c r="AV26" i="7"/>
  <c r="AW26" i="7"/>
  <c r="AX26" i="7"/>
  <c r="AY26" i="7"/>
  <c r="BC26" i="7"/>
  <c r="BD26" i="7"/>
  <c r="BO27" i="7"/>
  <c r="BP37" i="7"/>
  <c r="BQ37" i="7"/>
  <c r="BS37" i="7"/>
  <c r="AS37" i="7"/>
  <c r="BR37" i="7"/>
  <c r="AT37" i="7"/>
  <c r="AU37" i="7"/>
  <c r="AV37" i="7"/>
  <c r="AY37" i="7"/>
  <c r="AW37" i="7"/>
  <c r="AX37" i="7"/>
  <c r="AZ37" i="7"/>
  <c r="BA37" i="7"/>
  <c r="BB37" i="7"/>
  <c r="BC37" i="7"/>
  <c r="BD37" i="7"/>
  <c r="BE37" i="7"/>
  <c r="BN37" i="7"/>
  <c r="BT37" i="7"/>
  <c r="BK37" i="7"/>
  <c r="BN27" i="7"/>
  <c r="BQ27" i="7"/>
  <c r="BP27" i="7"/>
  <c r="AS27" i="7"/>
  <c r="BR27" i="7"/>
  <c r="AT27" i="7"/>
  <c r="BS27" i="7"/>
  <c r="AW27" i="7"/>
  <c r="BD27" i="7"/>
  <c r="AU27" i="7"/>
  <c r="AV27" i="7"/>
  <c r="AX27" i="7"/>
  <c r="AY27" i="7"/>
  <c r="AZ27" i="7"/>
  <c r="BA27" i="7"/>
  <c r="BB27" i="7"/>
  <c r="BC27" i="7"/>
  <c r="BI27" i="7"/>
  <c r="BJ27" i="7"/>
  <c r="BL27" i="7"/>
  <c r="BJ36" i="7"/>
  <c r="AW29" i="7"/>
  <c r="BP23" i="7"/>
  <c r="BO18" i="7"/>
  <c r="BJ17" i="7"/>
  <c r="BM18" i="7"/>
  <c r="BD31" i="7"/>
  <c r="BS29" i="7"/>
  <c r="AT29" i="7"/>
  <c r="BN28" i="7"/>
  <c r="BM23" i="7"/>
  <c r="AW20" i="7"/>
  <c r="BL18" i="7"/>
  <c r="BA17" i="7"/>
  <c r="AX31" i="7"/>
  <c r="BM29" i="7"/>
  <c r="BE18" i="7"/>
  <c r="AZ17" i="7"/>
  <c r="BM34" i="7"/>
  <c r="AW31" i="7"/>
  <c r="BL29" i="7"/>
  <c r="BE23" i="7"/>
  <c r="AZ22" i="7"/>
  <c r="BD18" i="7"/>
  <c r="AY17" i="7"/>
  <c r="BL34" i="7"/>
  <c r="AV31" i="7"/>
  <c r="BE28" i="7"/>
  <c r="BD23" i="7"/>
  <c r="AY22" i="7"/>
  <c r="BN20" i="7"/>
  <c r="BC18" i="7"/>
  <c r="AX17" i="7"/>
  <c r="BE33" i="7"/>
  <c r="BT31" i="7"/>
  <c r="AU31" i="7"/>
  <c r="BJ29" i="7"/>
  <c r="BD28" i="7"/>
  <c r="BN25" i="7"/>
  <c r="BI24" i="7"/>
  <c r="BC23" i="7"/>
  <c r="AX22" i="7"/>
  <c r="BM20" i="7"/>
  <c r="BB18" i="7"/>
  <c r="AW17" i="7"/>
  <c r="BQ16" i="7"/>
  <c r="BL15" i="7"/>
  <c r="BJ34" i="7"/>
  <c r="BD33" i="7"/>
  <c r="BS31" i="7"/>
  <c r="AT31" i="7"/>
  <c r="BI29" i="7"/>
  <c r="BC28" i="7"/>
  <c r="BM25" i="7"/>
  <c r="BB23" i="7"/>
  <c r="AW22" i="7"/>
  <c r="BL20" i="7"/>
  <c r="AV17" i="7"/>
  <c r="BQ31" i="7"/>
  <c r="BF29" i="7"/>
  <c r="AZ23" i="7"/>
  <c r="AU22" i="7"/>
  <c r="BJ20" i="7"/>
  <c r="AY18" i="7"/>
  <c r="BS17" i="7"/>
  <c r="AT17" i="7"/>
  <c r="BP31" i="7"/>
  <c r="BE29" i="7"/>
  <c r="AZ28" i="7"/>
  <c r="BJ25" i="7"/>
  <c r="BD24" i="7"/>
  <c r="AY23" i="7"/>
  <c r="BS22" i="7"/>
  <c r="AT22" i="7"/>
  <c r="BI20" i="7"/>
  <c r="AX18" i="7"/>
  <c r="BR17" i="7"/>
  <c r="AS17" i="7"/>
  <c r="BA23" i="7"/>
  <c r="AZ18" i="7"/>
  <c r="AU17" i="7"/>
  <c r="BO31" i="7"/>
  <c r="BD29" i="7"/>
  <c r="AY28" i="7"/>
  <c r="AX23" i="7"/>
  <c r="AW18" i="7"/>
  <c r="BQ17" i="7"/>
  <c r="BD34" i="7"/>
  <c r="BN31" i="7"/>
  <c r="BC29" i="7"/>
  <c r="AX28" i="7"/>
  <c r="AW23" i="7"/>
  <c r="BQ22" i="7"/>
  <c r="AV18" i="7"/>
  <c r="BP17" i="7"/>
  <c r="BC34" i="7"/>
  <c r="AX33" i="7"/>
  <c r="BM31" i="7"/>
  <c r="BB29" i="7"/>
  <c r="AW28" i="7"/>
  <c r="AV23" i="7"/>
  <c r="BP22" i="7"/>
  <c r="BE20" i="7"/>
  <c r="AU18" i="7"/>
  <c r="BB34" i="7"/>
  <c r="AW33" i="7"/>
  <c r="BL31" i="7"/>
  <c r="BA29" i="7"/>
  <c r="AV28" i="7"/>
  <c r="BE25" i="7"/>
  <c r="AZ24" i="7"/>
  <c r="AU23" i="7"/>
  <c r="BD20" i="7"/>
  <c r="AY19" i="7"/>
  <c r="BS18" i="7"/>
  <c r="AT18" i="7"/>
  <c r="BN17" i="7"/>
  <c r="BI16" i="7"/>
  <c r="BC15" i="7"/>
  <c r="BA34" i="7"/>
  <c r="AV33" i="7"/>
  <c r="AZ29" i="7"/>
  <c r="AU28" i="7"/>
  <c r="BD25" i="7"/>
  <c r="AY24" i="7"/>
  <c r="BS23" i="7"/>
  <c r="AT23" i="7"/>
  <c r="BN22" i="7"/>
  <c r="BC20" i="7"/>
  <c r="BR18" i="7"/>
  <c r="AS18" i="7"/>
  <c r="BM17" i="7"/>
  <c r="BB15" i="7"/>
  <c r="BS28" i="7"/>
  <c r="BR23" i="7"/>
  <c r="BK5" i="7"/>
  <c r="BK10" i="7"/>
  <c r="BJ5" i="7"/>
  <c r="BE14" i="7"/>
  <c r="BJ10" i="7"/>
  <c r="BI5" i="7"/>
  <c r="BB14" i="7"/>
  <c r="BE5" i="7"/>
  <c r="BE10" i="7"/>
  <c r="AU8" i="7"/>
  <c r="BD5" i="7"/>
  <c r="AZ14" i="7"/>
  <c r="AU13" i="7"/>
  <c r="BD10" i="7"/>
  <c r="BS8" i="7"/>
  <c r="AT8" i="7"/>
  <c r="BC5" i="7"/>
  <c r="BR3" i="7"/>
  <c r="AS3" i="7"/>
  <c r="AY14" i="7"/>
  <c r="BS13" i="7"/>
  <c r="AT13" i="7"/>
  <c r="BC10" i="7"/>
  <c r="BR8" i="7"/>
  <c r="AS8" i="7"/>
  <c r="BM7" i="7"/>
  <c r="BB5" i="7"/>
  <c r="BQ3" i="7"/>
  <c r="AX14" i="7"/>
  <c r="BR13" i="7"/>
  <c r="AS13" i="7"/>
  <c r="BB10" i="7"/>
  <c r="AW9" i="7"/>
  <c r="BQ8" i="7"/>
  <c r="BL7" i="7"/>
  <c r="AV4" i="7"/>
  <c r="BP3" i="7"/>
  <c r="AZ5" i="7"/>
  <c r="BH5" i="7"/>
  <c r="BC14" i="7"/>
  <c r="BH10" i="7"/>
  <c r="AW14" i="7"/>
  <c r="AV14" i="7"/>
  <c r="AZ10" i="7"/>
  <c r="AY5" i="7"/>
  <c r="AU14" i="7"/>
  <c r="BO13" i="7"/>
  <c r="AY10" i="7"/>
  <c r="BN8" i="7"/>
  <c r="AX5" i="7"/>
  <c r="BM3" i="7"/>
  <c r="BS14" i="7"/>
  <c r="AT14" i="7"/>
  <c r="BN13" i="7"/>
  <c r="AX10" i="7"/>
  <c r="BM8" i="7"/>
  <c r="AW5" i="7"/>
  <c r="BL3" i="7"/>
  <c r="BR14" i="7"/>
  <c r="AS14" i="7"/>
  <c r="BM13" i="7"/>
  <c r="BB11" i="7"/>
  <c r="AW10" i="7"/>
  <c r="BQ9" i="7"/>
  <c r="BL8" i="7"/>
  <c r="AV5" i="7"/>
  <c r="BP4" i="7"/>
  <c r="BQ14" i="7"/>
  <c r="AV10" i="7"/>
  <c r="AU5" i="7"/>
  <c r="AU10" i="7"/>
  <c r="BS5" i="7"/>
  <c r="AT5" i="7"/>
  <c r="BO14" i="7"/>
  <c r="BS10" i="7"/>
  <c r="AT10" i="7"/>
  <c r="BR5" i="7"/>
  <c r="AS5" i="7"/>
  <c r="BP14" i="7"/>
  <c r="AS10" i="7"/>
  <c r="BQ10" i="7"/>
  <c r="BL14" i="7"/>
  <c r="BP10" i="7"/>
  <c r="BE8" i="7"/>
  <c r="AZ7" i="7"/>
  <c r="BD3" i="7"/>
  <c r="BE13" i="7"/>
  <c r="BD8" i="7"/>
  <c r="AY7" i="7"/>
  <c r="BS6" i="7"/>
  <c r="AT6" i="7"/>
  <c r="BN5" i="7"/>
  <c r="BI4" i="7"/>
  <c r="BC3" i="7"/>
  <c r="BQ5" i="7"/>
  <c r="BJ14" i="7"/>
  <c r="BD13" i="7"/>
  <c r="BN10" i="7"/>
  <c r="BC8" i="7"/>
  <c r="AX7" i="7"/>
  <c r="BR6" i="7"/>
  <c r="AS6" i="7"/>
  <c r="BM5" i="7"/>
  <c r="BB3" i="7"/>
  <c r="BN14" i="7"/>
  <c r="BR10" i="7"/>
  <c r="BM14" i="7"/>
  <c r="BP5" i="7"/>
  <c r="BE3" i="7"/>
  <c r="J5" i="6"/>
  <c r="K5" i="6" s="1"/>
  <c r="J9" i="5"/>
  <c r="K9" i="5" s="1"/>
  <c r="L9" i="5" s="1" a="1"/>
  <c r="K3" i="3"/>
  <c r="T3" i="7" s="1"/>
  <c r="J8" i="4"/>
  <c r="L8" i="4" s="1"/>
  <c r="L8" i="3"/>
  <c r="M9" i="3"/>
  <c r="K8" i="3"/>
  <c r="M8" i="3"/>
  <c r="K9" i="3"/>
  <c r="T9" i="7" s="1"/>
  <c r="J9" i="6"/>
  <c r="K9" i="6" s="1"/>
  <c r="L9" i="6" s="1" a="1"/>
  <c r="J8" i="5"/>
  <c r="K8" i="5" s="1"/>
  <c r="L8" i="5" s="1" a="1"/>
  <c r="M6" i="3"/>
  <c r="U6" i="7" s="1"/>
  <c r="J6" i="4"/>
  <c r="L6" i="4" s="1"/>
  <c r="K7" i="3"/>
  <c r="L6" i="3"/>
  <c r="J7" i="5"/>
  <c r="K7" i="5" s="1"/>
  <c r="K6" i="3"/>
  <c r="T6" i="7" s="1"/>
  <c r="J6" i="5"/>
  <c r="K6" i="5" s="1"/>
  <c r="L6" i="5" s="1" a="1"/>
  <c r="M7" i="3"/>
  <c r="M5" i="3"/>
  <c r="U5" i="7" s="1"/>
  <c r="O5" i="12" s="1"/>
  <c r="L5" i="3"/>
  <c r="K5" i="3"/>
  <c r="J4" i="6"/>
  <c r="J4" i="5"/>
  <c r="K4" i="5" s="1"/>
  <c r="L4" i="5" s="1" a="1"/>
  <c r="J3" i="5"/>
  <c r="K3" i="5" s="1"/>
  <c r="M4" i="3"/>
  <c r="U4" i="7" s="1"/>
  <c r="J3" i="6"/>
  <c r="K3" i="6" s="1"/>
  <c r="L4" i="3"/>
  <c r="V4" i="7" s="1"/>
  <c r="K4" i="3"/>
  <c r="T4" i="7" s="1"/>
  <c r="J4" i="4"/>
  <c r="L4" i="4" s="1"/>
  <c r="N52" i="3"/>
  <c r="M82" i="3"/>
  <c r="N82" i="3" s="1"/>
  <c r="M70" i="3"/>
  <c r="N70" i="3" s="1"/>
  <c r="M58" i="3"/>
  <c r="M46" i="3"/>
  <c r="N46" i="3" s="1"/>
  <c r="M34" i="3"/>
  <c r="U34" i="7" s="1"/>
  <c r="M22" i="3"/>
  <c r="M10" i="3"/>
  <c r="U10" i="7" s="1"/>
  <c r="M75" i="3"/>
  <c r="N75" i="3" s="1"/>
  <c r="M63" i="3"/>
  <c r="N63" i="3" s="1"/>
  <c r="M51" i="3"/>
  <c r="N51" i="3" s="1"/>
  <c r="M39" i="3"/>
  <c r="M27" i="3"/>
  <c r="M15" i="3"/>
  <c r="M3" i="3"/>
  <c r="M71" i="3"/>
  <c r="N71" i="3" s="1"/>
  <c r="M47" i="3"/>
  <c r="L59" i="3"/>
  <c r="N59" i="3" s="1"/>
  <c r="L35" i="3"/>
  <c r="L23" i="3"/>
  <c r="L11" i="3"/>
  <c r="V11" i="7" s="1"/>
  <c r="J6" i="12"/>
  <c r="L27" i="5" a="1"/>
  <c r="L27" i="6" a="1"/>
  <c r="L26" i="5" a="1"/>
  <c r="L21" i="5" a="1"/>
  <c r="L21" i="6" a="1"/>
  <c r="L17" i="6" a="1"/>
  <c r="L18" i="5" a="1"/>
  <c r="L19" i="5" a="1"/>
  <c r="L17" i="5" a="1"/>
  <c r="L14" i="6" a="1"/>
  <c r="L15" i="6" a="1"/>
  <c r="L10" i="6" a="1"/>
  <c r="L5" i="6" a="1"/>
  <c r="L5" i="5" a="1"/>
  <c r="L3" i="5" a="1"/>
  <c r="L3" i="6" a="1"/>
  <c r="M15" i="4" a="1"/>
  <c r="M23" i="4" a="1"/>
  <c r="M20" i="4" a="1"/>
  <c r="M18" i="4" a="1"/>
  <c r="M17" i="4" a="1"/>
  <c r="M4" i="4" a="1"/>
  <c r="M5" i="4" a="1"/>
  <c r="M22" i="4" a="1"/>
  <c r="M25" i="4" a="1"/>
  <c r="M19" i="4" a="1"/>
  <c r="M12" i="4" a="1"/>
  <c r="M13" i="4" a="1"/>
  <c r="M24" i="4" a="1"/>
  <c r="M7" i="4" a="1"/>
  <c r="M26" i="4" a="1"/>
  <c r="M21" i="4" a="1"/>
  <c r="M10" i="4" a="1"/>
  <c r="M11" i="4" a="1"/>
  <c r="M9" i="4" a="1"/>
  <c r="M3" i="4" a="1"/>
  <c r="M27" i="4" a="1"/>
  <c r="M6" i="4" a="1"/>
  <c r="M14" i="4" a="1"/>
  <c r="M8" i="4" a="1"/>
  <c r="M16" i="4" a="1"/>
  <c r="BO5" i="7" l="1"/>
  <c r="L5" i="6"/>
  <c r="BT5" i="7" s="1"/>
  <c r="BO7" i="7"/>
  <c r="N58" i="3"/>
  <c r="N47" i="3"/>
  <c r="N45" i="3"/>
  <c r="L13" i="6"/>
  <c r="BT13" i="7" s="1"/>
  <c r="L19" i="5"/>
  <c r="BF19" i="7" s="1"/>
  <c r="BO11" i="7"/>
  <c r="BO8" i="7"/>
  <c r="L8" i="6"/>
  <c r="BT8" i="7" s="1"/>
  <c r="U38" i="7"/>
  <c r="L17" i="5"/>
  <c r="BF17" i="7" s="1"/>
  <c r="L14" i="6"/>
  <c r="BT14" i="7" s="1"/>
  <c r="BO12" i="7"/>
  <c r="L12" i="6"/>
  <c r="BT12" i="7" s="1"/>
  <c r="L7" i="6"/>
  <c r="BT7" i="7" s="1"/>
  <c r="L5" i="5"/>
  <c r="BF5" i="7" s="1"/>
  <c r="L6" i="6"/>
  <c r="BT6" i="7" s="1"/>
  <c r="L6" i="5"/>
  <c r="BF6" i="7" s="1"/>
  <c r="L3" i="5"/>
  <c r="BF3" i="7" s="1"/>
  <c r="L3" i="6"/>
  <c r="BT3" i="7" s="1"/>
  <c r="BO3" i="7"/>
  <c r="L4" i="5"/>
  <c r="BF4" i="7" s="1"/>
  <c r="L21" i="6"/>
  <c r="BT21" i="7" s="1"/>
  <c r="L21" i="5"/>
  <c r="L22" i="6"/>
  <c r="BT22" i="7" s="1"/>
  <c r="BO22" i="7"/>
  <c r="L9" i="6"/>
  <c r="BT9" i="7" s="1"/>
  <c r="L18" i="5"/>
  <c r="BF18" i="7" s="1"/>
  <c r="L16" i="6"/>
  <c r="BT16" i="7" s="1"/>
  <c r="K10" i="5"/>
  <c r="L10" i="5" s="1" a="1"/>
  <c r="BO10" i="7"/>
  <c r="L10" i="6"/>
  <c r="BT10" i="7" s="1"/>
  <c r="L27" i="6"/>
  <c r="BT27" i="7" s="1"/>
  <c r="L27" i="5"/>
  <c r="BF27" i="7" s="1"/>
  <c r="M27" i="4"/>
  <c r="AQ27" i="7" s="1"/>
  <c r="M26" i="4"/>
  <c r="AQ26" i="7" s="1"/>
  <c r="M24" i="4"/>
  <c r="AQ24" i="7" s="1"/>
  <c r="L26" i="5"/>
  <c r="M25" i="4"/>
  <c r="AQ25" i="7" s="1"/>
  <c r="M17" i="4"/>
  <c r="AQ17" i="7" s="1"/>
  <c r="M21" i="4"/>
  <c r="AQ21" i="7" s="1"/>
  <c r="M15" i="4"/>
  <c r="AQ15" i="7" s="1"/>
  <c r="M19" i="4"/>
  <c r="AQ19" i="7" s="1"/>
  <c r="M14" i="4"/>
  <c r="AQ14" i="7" s="1"/>
  <c r="L17" i="6"/>
  <c r="BT17" i="7" s="1"/>
  <c r="M18" i="4"/>
  <c r="AQ18" i="7" s="1"/>
  <c r="M22" i="4"/>
  <c r="AQ22" i="7" s="1"/>
  <c r="L22" i="5"/>
  <c r="BF22" i="7" s="1"/>
  <c r="M16" i="4"/>
  <c r="AQ16" i="7" s="1"/>
  <c r="L20" i="6"/>
  <c r="M20" i="4"/>
  <c r="AQ20" i="7" s="1"/>
  <c r="L15" i="6"/>
  <c r="BT15" i="7" s="1"/>
  <c r="L20" i="5"/>
  <c r="BF20" i="7" s="1"/>
  <c r="L23" i="6"/>
  <c r="BT23" i="7" s="1"/>
  <c r="M23" i="4"/>
  <c r="AQ23" i="7" s="1"/>
  <c r="L23" i="5"/>
  <c r="BF23" i="7" s="1"/>
  <c r="BA16" i="7"/>
  <c r="AL17" i="7"/>
  <c r="AL21" i="7"/>
  <c r="AL14" i="7"/>
  <c r="BO23" i="7"/>
  <c r="BA14" i="7"/>
  <c r="BO17" i="7"/>
  <c r="BA15" i="7"/>
  <c r="BA22" i="7"/>
  <c r="M9" i="4"/>
  <c r="AQ9" i="7" s="1"/>
  <c r="M10" i="4"/>
  <c r="AQ10" i="7" s="1"/>
  <c r="M4" i="4"/>
  <c r="AQ4" i="7" s="1"/>
  <c r="M12" i="4"/>
  <c r="AQ12" i="7" s="1"/>
  <c r="M3" i="4"/>
  <c r="AQ3" i="7" s="1"/>
  <c r="L8" i="5"/>
  <c r="BF8" i="7" s="1"/>
  <c r="M8" i="4"/>
  <c r="AQ8" i="7" s="1"/>
  <c r="M13" i="4"/>
  <c r="AQ13" i="7" s="1"/>
  <c r="M5" i="4"/>
  <c r="AQ5" i="7" s="1"/>
  <c r="M6" i="4"/>
  <c r="AQ6" i="7" s="1"/>
  <c r="L9" i="5"/>
  <c r="BF9" i="7" s="1"/>
  <c r="M7" i="4"/>
  <c r="AQ7" i="7" s="1"/>
  <c r="L11" i="5"/>
  <c r="BF11" i="7" s="1"/>
  <c r="M11" i="4"/>
  <c r="AQ11" i="7" s="1"/>
  <c r="L11" i="6"/>
  <c r="BT11" i="7" s="1"/>
  <c r="BA7" i="7"/>
  <c r="BA12" i="7"/>
  <c r="AL13" i="7"/>
  <c r="BA11" i="7"/>
  <c r="N37" i="3"/>
  <c r="W37" i="7" s="1"/>
  <c r="N35" i="3"/>
  <c r="W35" i="7" s="1"/>
  <c r="V35" i="7"/>
  <c r="BT28" i="7"/>
  <c r="AQ28" i="7"/>
  <c r="BF26" i="7"/>
  <c r="BF21" i="7"/>
  <c r="BO16" i="7"/>
  <c r="BO21" i="7"/>
  <c r="AQ29" i="7"/>
  <c r="BO15" i="7"/>
  <c r="AQ31" i="7"/>
  <c r="N31" i="3"/>
  <c r="W31" i="7" s="1"/>
  <c r="AQ30" i="7"/>
  <c r="AL30" i="7"/>
  <c r="BA28" i="7"/>
  <c r="BT26" i="7"/>
  <c r="AL26" i="7"/>
  <c r="BO26" i="7"/>
  <c r="N20" i="3"/>
  <c r="BT20" i="7"/>
  <c r="BT25" i="7"/>
  <c r="AL20" i="7"/>
  <c r="BA24" i="7"/>
  <c r="AL25" i="7"/>
  <c r="BA25" i="7"/>
  <c r="BA20" i="7"/>
  <c r="AL23" i="7"/>
  <c r="AL22" i="7"/>
  <c r="BT18" i="7"/>
  <c r="AL18" i="7"/>
  <c r="AL19" i="7"/>
  <c r="K19" i="6"/>
  <c r="L19" i="6" s="1" a="1"/>
  <c r="BA18" i="7"/>
  <c r="AL16" i="7"/>
  <c r="AL15" i="7"/>
  <c r="AL7" i="7"/>
  <c r="AL9" i="7"/>
  <c r="AL8" i="7"/>
  <c r="AL10" i="7"/>
  <c r="AL12" i="7"/>
  <c r="AL4" i="7"/>
  <c r="BO6" i="7"/>
  <c r="AL5" i="7"/>
  <c r="AL6" i="7"/>
  <c r="AL3" i="7"/>
  <c r="N33" i="3"/>
  <c r="W33" i="7" s="1"/>
  <c r="T20" i="7"/>
  <c r="N32" i="3"/>
  <c r="W32" i="7" s="1"/>
  <c r="BF34" i="7"/>
  <c r="BT34" i="7"/>
  <c r="BF33" i="7"/>
  <c r="BA33" i="7"/>
  <c r="BF32" i="7"/>
  <c r="U31" i="7"/>
  <c r="N30" i="3"/>
  <c r="AL31" i="7"/>
  <c r="N29" i="3"/>
  <c r="AB40" i="7"/>
  <c r="W40" i="7"/>
  <c r="AB37" i="7"/>
  <c r="AB36" i="7"/>
  <c r="W36" i="7"/>
  <c r="AB43" i="7"/>
  <c r="W43" i="7"/>
  <c r="AB41" i="7"/>
  <c r="AB32" i="7"/>
  <c r="W41" i="7"/>
  <c r="AB35" i="7"/>
  <c r="AB33" i="7"/>
  <c r="AB42" i="7"/>
  <c r="N25" i="3"/>
  <c r="N39" i="3"/>
  <c r="U39" i="7"/>
  <c r="W42" i="7"/>
  <c r="N34" i="3"/>
  <c r="N24" i="3"/>
  <c r="N26" i="3"/>
  <c r="AL27" i="7"/>
  <c r="BF24" i="7"/>
  <c r="AL24" i="7"/>
  <c r="N28" i="3"/>
  <c r="N27" i="3"/>
  <c r="U27" i="7"/>
  <c r="N18" i="3"/>
  <c r="T18" i="7"/>
  <c r="N21" i="3"/>
  <c r="N23" i="3"/>
  <c r="V23" i="7"/>
  <c r="N19" i="3"/>
  <c r="N17" i="3"/>
  <c r="T17" i="7"/>
  <c r="N22" i="3"/>
  <c r="U22" i="7"/>
  <c r="N15" i="3"/>
  <c r="U15" i="7"/>
  <c r="N16" i="3"/>
  <c r="N14" i="3"/>
  <c r="N13" i="3"/>
  <c r="N12" i="3"/>
  <c r="BA5" i="7"/>
  <c r="U8" i="7"/>
  <c r="O8" i="12" s="1"/>
  <c r="T8" i="7"/>
  <c r="N8" i="12" s="1"/>
  <c r="V5" i="7"/>
  <c r="P5" i="12" s="1"/>
  <c r="U9" i="7"/>
  <c r="O9" i="12" s="1"/>
  <c r="V8" i="7"/>
  <c r="P8" i="12" s="1"/>
  <c r="BA9" i="7"/>
  <c r="BA8" i="7"/>
  <c r="BA6" i="7"/>
  <c r="N5" i="3"/>
  <c r="T5" i="7"/>
  <c r="N5" i="12" s="1"/>
  <c r="U7" i="7"/>
  <c r="O7" i="12" s="1"/>
  <c r="BO9" i="7"/>
  <c r="V6" i="7"/>
  <c r="P6" i="12" s="1"/>
  <c r="T7" i="7"/>
  <c r="N7" i="12" s="1"/>
  <c r="BA4" i="7"/>
  <c r="K4" i="6"/>
  <c r="L4" i="6" s="1" a="1"/>
  <c r="BO4" i="7"/>
  <c r="BA3" i="7"/>
  <c r="N3" i="3"/>
  <c r="U3" i="7"/>
  <c r="N9" i="3"/>
  <c r="N9" i="12"/>
  <c r="N8" i="3"/>
  <c r="N6" i="3"/>
  <c r="N6" i="12"/>
  <c r="N7" i="3"/>
  <c r="N4" i="3"/>
  <c r="N11" i="3"/>
  <c r="N10" i="3"/>
  <c r="O6" i="12"/>
  <c r="R44" i="14"/>
  <c r="R45" i="14"/>
  <c r="R46" i="14"/>
  <c r="R47" i="14"/>
  <c r="R48" i="14"/>
  <c r="R49" i="14"/>
  <c r="R50" i="14"/>
  <c r="R51" i="14"/>
  <c r="R52" i="14"/>
  <c r="R53" i="14"/>
  <c r="R54" i="14"/>
  <c r="R55" i="14"/>
  <c r="R56" i="14"/>
  <c r="R57" i="14"/>
  <c r="R58" i="14"/>
  <c r="R59" i="14"/>
  <c r="R60" i="14"/>
  <c r="R61" i="14"/>
  <c r="R62" i="14"/>
  <c r="R63" i="14"/>
  <c r="R64" i="14"/>
  <c r="R65" i="14"/>
  <c r="R66" i="14"/>
  <c r="R67" i="14"/>
  <c r="R68" i="14"/>
  <c r="R69" i="14"/>
  <c r="R70" i="14"/>
  <c r="R71" i="14"/>
  <c r="R72" i="14"/>
  <c r="R73" i="14"/>
  <c r="R74" i="14"/>
  <c r="R75" i="14"/>
  <c r="R76" i="14"/>
  <c r="R44" i="12"/>
  <c r="R45" i="12"/>
  <c r="R46" i="12"/>
  <c r="R47" i="12"/>
  <c r="R48" i="12"/>
  <c r="R49" i="12"/>
  <c r="R50" i="12"/>
  <c r="R51" i="12"/>
  <c r="R52" i="12"/>
  <c r="R53" i="12"/>
  <c r="R54" i="12"/>
  <c r="R3" i="12"/>
  <c r="R3" i="13"/>
  <c r="G4" i="12"/>
  <c r="D4" i="12"/>
  <c r="E4" i="12"/>
  <c r="F4" i="12"/>
  <c r="H4" i="12"/>
  <c r="I4" i="12"/>
  <c r="K4" i="12"/>
  <c r="L4" i="12"/>
  <c r="M4" i="12"/>
  <c r="R4" i="12"/>
  <c r="R4" i="13"/>
  <c r="R5" i="13"/>
  <c r="R6" i="13"/>
  <c r="R7" i="13"/>
  <c r="R8" i="13"/>
  <c r="R9" i="13"/>
  <c r="R10" i="12"/>
  <c r="R10" i="13"/>
  <c r="R11" i="12"/>
  <c r="R11" i="13"/>
  <c r="R12" i="12"/>
  <c r="R12" i="13"/>
  <c r="R13" i="12"/>
  <c r="R13" i="13"/>
  <c r="R14" i="12"/>
  <c r="R14" i="13"/>
  <c r="R15" i="12"/>
  <c r="R15" i="13"/>
  <c r="R16" i="12"/>
  <c r="R16" i="13"/>
  <c r="R17" i="15"/>
  <c r="R17" i="12"/>
  <c r="R17" i="13"/>
  <c r="R18" i="12"/>
  <c r="R18" i="13"/>
  <c r="R19" i="12"/>
  <c r="R19" i="13"/>
  <c r="R20" i="12"/>
  <c r="R20" i="13"/>
  <c r="R21" i="12"/>
  <c r="R21" i="13"/>
  <c r="R22" i="12"/>
  <c r="R22" i="13"/>
  <c r="R23" i="12"/>
  <c r="R23" i="13"/>
  <c r="R24" i="12"/>
  <c r="R24" i="13"/>
  <c r="R25" i="12"/>
  <c r="R25" i="13"/>
  <c r="R26" i="12"/>
  <c r="R26" i="13"/>
  <c r="R27" i="15"/>
  <c r="R27" i="12"/>
  <c r="R27" i="13"/>
  <c r="R28" i="12"/>
  <c r="R28" i="13"/>
  <c r="R29" i="12"/>
  <c r="R29" i="13"/>
  <c r="R30" i="12"/>
  <c r="R30" i="13"/>
  <c r="R31" i="12"/>
  <c r="R31" i="13"/>
  <c r="R32" i="12"/>
  <c r="R32" i="13"/>
  <c r="R33" i="12"/>
  <c r="R33" i="13"/>
  <c r="R34" i="15"/>
  <c r="R34" i="12"/>
  <c r="R34" i="13"/>
  <c r="R35" i="12"/>
  <c r="R35" i="13"/>
  <c r="R36" i="12"/>
  <c r="R36" i="13"/>
  <c r="R37" i="12"/>
  <c r="R37" i="13"/>
  <c r="R38" i="12"/>
  <c r="R38" i="13"/>
  <c r="R39" i="12"/>
  <c r="R39" i="13"/>
  <c r="R40" i="12"/>
  <c r="R40" i="13"/>
  <c r="R41" i="12"/>
  <c r="R41" i="13"/>
  <c r="R42" i="14"/>
  <c r="R42" i="12"/>
  <c r="R43" i="12"/>
  <c r="L13" i="5" a="1"/>
  <c r="L15" i="5" a="1"/>
  <c r="L14" i="5" a="1"/>
  <c r="L16" i="5" a="1"/>
  <c r="L12" i="5" a="1"/>
  <c r="L7" i="5" a="1"/>
  <c r="O13" i="3" a="1"/>
  <c r="O6" i="3" a="1"/>
  <c r="O8" i="3" a="1"/>
  <c r="O14" i="3" a="1"/>
  <c r="O3" i="3" a="1"/>
  <c r="O9" i="3" a="1"/>
  <c r="O5" i="3" a="1"/>
  <c r="O10" i="3" a="1"/>
  <c r="O11" i="3" a="1"/>
  <c r="O18" i="3" a="1"/>
  <c r="O16" i="3" a="1"/>
  <c r="O4" i="3" a="1"/>
  <c r="O24" i="3" a="1"/>
  <c r="O7" i="3" a="1"/>
  <c r="O23" i="3" a="1"/>
  <c r="O12" i="3" a="1"/>
  <c r="O19" i="3" a="1"/>
  <c r="O15" i="3" a="1"/>
  <c r="L13" i="5" l="1"/>
  <c r="BF13" i="7" s="1"/>
  <c r="O18" i="3"/>
  <c r="AB18" i="7" s="1"/>
  <c r="O16" i="3"/>
  <c r="AB16" i="7" s="1"/>
  <c r="AB17" i="7"/>
  <c r="O19" i="3"/>
  <c r="AB19" i="7" s="1"/>
  <c r="L19" i="6"/>
  <c r="L14" i="5"/>
  <c r="BF14" i="7" s="1"/>
  <c r="L12" i="5"/>
  <c r="BF12" i="7" s="1"/>
  <c r="L7" i="5"/>
  <c r="BF7" i="7" s="1"/>
  <c r="L4" i="6"/>
  <c r="BT4" i="7" s="1"/>
  <c r="O24" i="3"/>
  <c r="AB24" i="7" s="1"/>
  <c r="AB22" i="7"/>
  <c r="O23" i="3"/>
  <c r="AB23" i="7" s="1"/>
  <c r="AB21" i="7"/>
  <c r="O11" i="3"/>
  <c r="AB11" i="7" s="1"/>
  <c r="O12" i="3"/>
  <c r="AB12" i="7" s="1"/>
  <c r="O13" i="3"/>
  <c r="AB13" i="7" s="1"/>
  <c r="O14" i="3"/>
  <c r="AB14" i="7" s="1"/>
  <c r="O10" i="3"/>
  <c r="AB10" i="7" s="1"/>
  <c r="O9" i="3"/>
  <c r="AB9" i="7" s="1"/>
  <c r="AB20" i="7"/>
  <c r="O15" i="3"/>
  <c r="AB15" i="7" s="1"/>
  <c r="L16" i="5"/>
  <c r="BF16" i="7" s="1"/>
  <c r="L10" i="5"/>
  <c r="BF10" i="7" s="1"/>
  <c r="BA10" i="7"/>
  <c r="O8" i="3"/>
  <c r="AB8" i="7" s="1"/>
  <c r="O4" i="3"/>
  <c r="AB4" i="7" s="1"/>
  <c r="O7" i="3"/>
  <c r="AB7" i="7" s="1"/>
  <c r="O6" i="3"/>
  <c r="AB6" i="7" s="1"/>
  <c r="O3" i="3"/>
  <c r="AB3" i="7" s="1"/>
  <c r="O5" i="3"/>
  <c r="AB5" i="7" s="1"/>
  <c r="AB27" i="7"/>
  <c r="AB26" i="7"/>
  <c r="AB25" i="7"/>
  <c r="L15" i="5"/>
  <c r="BF15" i="7" s="1"/>
  <c r="W20" i="7"/>
  <c r="AB31" i="7"/>
  <c r="AB30" i="7"/>
  <c r="W30" i="7"/>
  <c r="AB29" i="7"/>
  <c r="W29" i="7"/>
  <c r="BF28" i="7"/>
  <c r="W26" i="7"/>
  <c r="BF25" i="7"/>
  <c r="W24" i="7"/>
  <c r="W25" i="7"/>
  <c r="BT19" i="7"/>
  <c r="AB39" i="7"/>
  <c r="AB34" i="7"/>
  <c r="W3" i="7"/>
  <c r="W15" i="7"/>
  <c r="W12" i="7"/>
  <c r="W14" i="7"/>
  <c r="W16" i="7"/>
  <c r="W39" i="7"/>
  <c r="W13" i="7"/>
  <c r="W22" i="7"/>
  <c r="W10" i="7"/>
  <c r="W21" i="7"/>
  <c r="W11" i="7"/>
  <c r="W5" i="7"/>
  <c r="Q5" i="12" s="1"/>
  <c r="W17" i="7"/>
  <c r="W19" i="7"/>
  <c r="W34" i="7"/>
  <c r="W4" i="7"/>
  <c r="W18" i="7"/>
  <c r="W7" i="7"/>
  <c r="Q7" i="12" s="1"/>
  <c r="W23" i="7"/>
  <c r="AB28" i="7"/>
  <c r="W27" i="7"/>
  <c r="W28" i="7"/>
  <c r="W6" i="7"/>
  <c r="Q6" i="12" s="1"/>
  <c r="W8" i="7"/>
  <c r="Q8" i="12" s="1"/>
  <c r="W9" i="7"/>
  <c r="Q9" i="12" s="1"/>
  <c r="J4" i="12"/>
  <c r="R17" i="14"/>
  <c r="R18" i="14"/>
  <c r="R21" i="15"/>
  <c r="R31" i="15"/>
  <c r="R33" i="15"/>
  <c r="R36" i="15"/>
  <c r="R33" i="14"/>
  <c r="R31" i="14"/>
  <c r="R29" i="15"/>
  <c r="R37" i="15"/>
  <c r="R29" i="14"/>
  <c r="R28" i="14"/>
  <c r="R24" i="15"/>
  <c r="R36" i="14"/>
  <c r="R26" i="15"/>
  <c r="R28" i="15"/>
  <c r="R22" i="15"/>
  <c r="R43" i="14"/>
  <c r="R23" i="15"/>
  <c r="R18" i="15"/>
  <c r="R23" i="14"/>
  <c r="R41" i="14"/>
  <c r="R32" i="15"/>
  <c r="R13" i="15"/>
  <c r="R9" i="15"/>
  <c r="O4" i="12"/>
  <c r="P4" i="12"/>
  <c r="R7" i="15"/>
  <c r="R3" i="15"/>
  <c r="R7" i="14"/>
  <c r="R12" i="14"/>
  <c r="R11" i="14"/>
  <c r="R12" i="15"/>
  <c r="R9" i="14"/>
  <c r="R8" i="15"/>
  <c r="R6" i="14"/>
  <c r="R5" i="14"/>
  <c r="R4" i="14"/>
  <c r="R4" i="15"/>
  <c r="N4" i="12"/>
  <c r="R16" i="15"/>
  <c r="R16" i="14"/>
  <c r="R15" i="15"/>
  <c r="R20" i="15"/>
  <c r="R30" i="15"/>
  <c r="R14" i="15"/>
  <c r="R10" i="14"/>
  <c r="R27" i="14"/>
  <c r="R40" i="14"/>
  <c r="R35" i="15"/>
  <c r="R10" i="15"/>
  <c r="R25" i="15"/>
  <c r="R35" i="14"/>
  <c r="R19" i="15"/>
  <c r="R15" i="14"/>
  <c r="R39" i="14"/>
  <c r="R22" i="14"/>
  <c r="R20" i="14"/>
  <c r="R14" i="14"/>
  <c r="R25" i="14"/>
  <c r="R34" i="14"/>
  <c r="R11" i="15"/>
  <c r="R6" i="15"/>
  <c r="R24" i="14"/>
  <c r="R19" i="14"/>
  <c r="R5" i="15"/>
  <c r="R38" i="14"/>
  <c r="R30" i="14"/>
  <c r="R21" i="14"/>
  <c r="R26" i="14"/>
  <c r="R3" i="14"/>
  <c r="R32" i="14"/>
  <c r="R8" i="14"/>
  <c r="R37" i="14"/>
  <c r="R13" i="14"/>
  <c r="E37" i="14" l="1"/>
  <c r="F37" i="14"/>
  <c r="K37" i="14"/>
  <c r="N43" i="14"/>
  <c r="Q43" i="14" s="1"/>
  <c r="F35" i="14"/>
  <c r="J35" i="14"/>
  <c r="E43" i="14"/>
  <c r="M41" i="14"/>
  <c r="L41" i="14"/>
  <c r="K41" i="14"/>
  <c r="N39" i="14"/>
  <c r="Q39" i="14" s="1"/>
  <c r="N41" i="14"/>
  <c r="Q41" i="14" s="1"/>
  <c r="L40" i="14"/>
  <c r="J34" i="14"/>
  <c r="N34" i="14"/>
  <c r="Q34" i="14" s="1"/>
  <c r="D34" i="14"/>
  <c r="E34" i="14"/>
  <c r="M39" i="14"/>
  <c r="E39" i="14"/>
  <c r="K34" i="14"/>
  <c r="N42" i="14"/>
  <c r="Q42" i="14" s="1"/>
  <c r="K43" i="14"/>
  <c r="D43" i="14"/>
  <c r="L39" i="14"/>
  <c r="J39" i="14"/>
  <c r="D37" i="14"/>
  <c r="E36" i="14"/>
  <c r="F42" i="14"/>
  <c r="E38" i="14"/>
  <c r="K38" i="14"/>
  <c r="F38" i="14"/>
  <c r="L37" i="14"/>
  <c r="J37" i="14"/>
  <c r="M36" i="14"/>
  <c r="J43" i="14"/>
  <c r="K39" i="14"/>
  <c r="M37" i="14"/>
  <c r="B34" i="14"/>
  <c r="F34" i="14"/>
  <c r="G34" i="14"/>
  <c r="H34" i="14"/>
  <c r="I34" i="14"/>
  <c r="L34" i="14"/>
  <c r="M34" i="14"/>
  <c r="B35" i="14"/>
  <c r="D35" i="14"/>
  <c r="E35" i="14"/>
  <c r="G35" i="14"/>
  <c r="H35" i="14"/>
  <c r="I35" i="14"/>
  <c r="K35" i="14"/>
  <c r="L35" i="14"/>
  <c r="M35" i="14"/>
  <c r="N35" i="14"/>
  <c r="Q35" i="14" s="1"/>
  <c r="B36" i="14"/>
  <c r="D36" i="14"/>
  <c r="F36" i="14"/>
  <c r="G36" i="14"/>
  <c r="H36" i="14"/>
  <c r="I36" i="14"/>
  <c r="J36" i="14"/>
  <c r="K36" i="14"/>
  <c r="L36" i="14"/>
  <c r="N36" i="14"/>
  <c r="Q36" i="14" s="1"/>
  <c r="B37" i="14"/>
  <c r="G37" i="14"/>
  <c r="H37" i="14"/>
  <c r="I37" i="14"/>
  <c r="N37" i="14"/>
  <c r="Q37" i="14" s="1"/>
  <c r="B38" i="14"/>
  <c r="D38" i="14"/>
  <c r="G38" i="14"/>
  <c r="H38" i="14"/>
  <c r="I38" i="14"/>
  <c r="J38" i="14"/>
  <c r="L38" i="14"/>
  <c r="M38" i="14"/>
  <c r="N38" i="14"/>
  <c r="Q38" i="14" s="1"/>
  <c r="B39" i="14"/>
  <c r="D39" i="14"/>
  <c r="F39" i="14"/>
  <c r="G39" i="14"/>
  <c r="H39" i="14"/>
  <c r="I39" i="14"/>
  <c r="B40" i="14"/>
  <c r="D40" i="14"/>
  <c r="E40" i="14"/>
  <c r="F40" i="14"/>
  <c r="G40" i="14"/>
  <c r="H40" i="14"/>
  <c r="I40" i="14"/>
  <c r="J40" i="14"/>
  <c r="K40" i="14"/>
  <c r="M40" i="14"/>
  <c r="N40" i="14"/>
  <c r="Q40" i="14" s="1"/>
  <c r="B41" i="14"/>
  <c r="D41" i="14"/>
  <c r="E41" i="14"/>
  <c r="F41" i="14"/>
  <c r="G41" i="14"/>
  <c r="H41" i="14"/>
  <c r="I41" i="14"/>
  <c r="J41" i="14"/>
  <c r="B42" i="14"/>
  <c r="D42" i="14"/>
  <c r="E42" i="14"/>
  <c r="G42" i="14"/>
  <c r="H42" i="14"/>
  <c r="I42" i="14"/>
  <c r="J42" i="14"/>
  <c r="K42" i="14"/>
  <c r="L42" i="14"/>
  <c r="M42" i="14"/>
  <c r="B43" i="14"/>
  <c r="F43" i="14"/>
  <c r="G43" i="14"/>
  <c r="H43" i="14"/>
  <c r="I43" i="14"/>
  <c r="L43" i="14"/>
  <c r="M43" i="14"/>
  <c r="B44" i="14"/>
  <c r="D44" i="14"/>
  <c r="E44" i="14"/>
  <c r="F44" i="14"/>
  <c r="G44" i="14"/>
  <c r="H44" i="14"/>
  <c r="I44" i="14"/>
  <c r="J44" i="14"/>
  <c r="K44" i="14"/>
  <c r="L44" i="14"/>
  <c r="M44" i="14"/>
  <c r="N44" i="14"/>
  <c r="Q44" i="14" s="1"/>
  <c r="B45" i="14"/>
  <c r="D45" i="14"/>
  <c r="E45" i="14"/>
  <c r="F45" i="14"/>
  <c r="G45" i="14"/>
  <c r="H45" i="14"/>
  <c r="I45" i="14"/>
  <c r="J45" i="14"/>
  <c r="K45" i="14"/>
  <c r="L45" i="14"/>
  <c r="M45" i="14"/>
  <c r="N45" i="14"/>
  <c r="Q45" i="14" s="1"/>
  <c r="B46" i="14"/>
  <c r="D46" i="14"/>
  <c r="E46" i="14"/>
  <c r="F46" i="14"/>
  <c r="G46" i="14"/>
  <c r="H46" i="14"/>
  <c r="I46" i="14"/>
  <c r="J46" i="14"/>
  <c r="K46" i="14"/>
  <c r="L46" i="14"/>
  <c r="M46" i="14"/>
  <c r="N46" i="14"/>
  <c r="Q46" i="14" s="1"/>
  <c r="B47" i="14"/>
  <c r="D47" i="14"/>
  <c r="E47" i="14"/>
  <c r="F47" i="14"/>
  <c r="G47" i="14"/>
  <c r="H47" i="14"/>
  <c r="I47" i="14"/>
  <c r="J47" i="14"/>
  <c r="K47" i="14"/>
  <c r="L47" i="14"/>
  <c r="M47" i="14"/>
  <c r="N47" i="14"/>
  <c r="Q47" i="14" s="1"/>
  <c r="B48" i="14"/>
  <c r="D48" i="14"/>
  <c r="E48" i="14"/>
  <c r="F48" i="14"/>
  <c r="G48" i="14"/>
  <c r="H48" i="14"/>
  <c r="I48" i="14"/>
  <c r="J48" i="14"/>
  <c r="K48" i="14"/>
  <c r="L48" i="14"/>
  <c r="M48" i="14"/>
  <c r="N48" i="14"/>
  <c r="Q48" i="14" s="1"/>
  <c r="B49" i="14"/>
  <c r="D49" i="14"/>
  <c r="E49" i="14"/>
  <c r="F49" i="14"/>
  <c r="G49" i="14"/>
  <c r="H49" i="14"/>
  <c r="I49" i="14"/>
  <c r="J49" i="14"/>
  <c r="K49" i="14"/>
  <c r="L49" i="14"/>
  <c r="M49" i="14"/>
  <c r="N49" i="14"/>
  <c r="Q49" i="14" s="1"/>
  <c r="B50" i="14"/>
  <c r="D50" i="14"/>
  <c r="E50" i="14"/>
  <c r="F50" i="14"/>
  <c r="G50" i="14"/>
  <c r="H50" i="14"/>
  <c r="I50" i="14"/>
  <c r="J50" i="14"/>
  <c r="K50" i="14"/>
  <c r="L50" i="14"/>
  <c r="M50" i="14"/>
  <c r="N50" i="14"/>
  <c r="Q50" i="14" s="1"/>
  <c r="B51" i="14"/>
  <c r="D51" i="14"/>
  <c r="E51" i="14"/>
  <c r="F51" i="14"/>
  <c r="G51" i="14"/>
  <c r="H51" i="14"/>
  <c r="I51" i="14"/>
  <c r="J51" i="14"/>
  <c r="K51" i="14"/>
  <c r="L51" i="14"/>
  <c r="M51" i="14"/>
  <c r="N51" i="14"/>
  <c r="Q51" i="14" s="1"/>
  <c r="B52" i="14"/>
  <c r="D52" i="14"/>
  <c r="E52" i="14"/>
  <c r="F52" i="14"/>
  <c r="G52" i="14"/>
  <c r="H52" i="14"/>
  <c r="I52" i="14"/>
  <c r="J52" i="14"/>
  <c r="K52" i="14"/>
  <c r="L52" i="14"/>
  <c r="M52" i="14"/>
  <c r="N52" i="14"/>
  <c r="Q52" i="14" s="1"/>
  <c r="B53" i="14"/>
  <c r="D53" i="14"/>
  <c r="E53" i="14"/>
  <c r="F53" i="14"/>
  <c r="G53" i="14"/>
  <c r="H53" i="14"/>
  <c r="I53" i="14"/>
  <c r="J53" i="14"/>
  <c r="K53" i="14"/>
  <c r="L53" i="14"/>
  <c r="M53" i="14"/>
  <c r="N53" i="14"/>
  <c r="Q53" i="14" s="1"/>
  <c r="B54" i="14"/>
  <c r="D54" i="14"/>
  <c r="E54" i="14"/>
  <c r="F54" i="14"/>
  <c r="G54" i="14"/>
  <c r="H54" i="14"/>
  <c r="I54" i="14"/>
  <c r="J54" i="14"/>
  <c r="K54" i="14"/>
  <c r="L54" i="14"/>
  <c r="M54" i="14"/>
  <c r="N54" i="14"/>
  <c r="Q54" i="14"/>
  <c r="B55" i="14"/>
  <c r="D55" i="14"/>
  <c r="E55" i="14"/>
  <c r="F55" i="14"/>
  <c r="G55" i="14"/>
  <c r="H55" i="14"/>
  <c r="I55" i="14"/>
  <c r="J55" i="14"/>
  <c r="K55" i="14"/>
  <c r="L55" i="14"/>
  <c r="M55" i="14"/>
  <c r="N55" i="14"/>
  <c r="Q55" i="14" s="1"/>
  <c r="B56" i="14"/>
  <c r="D56" i="14"/>
  <c r="E56" i="14"/>
  <c r="F56" i="14"/>
  <c r="G56" i="14"/>
  <c r="H56" i="14"/>
  <c r="I56" i="14"/>
  <c r="J56" i="14"/>
  <c r="K56" i="14"/>
  <c r="L56" i="14"/>
  <c r="M56" i="14"/>
  <c r="N56" i="14"/>
  <c r="Q56" i="14"/>
  <c r="B57" i="14"/>
  <c r="D57" i="14"/>
  <c r="E57" i="14"/>
  <c r="F57" i="14"/>
  <c r="G57" i="14"/>
  <c r="H57" i="14"/>
  <c r="I57" i="14"/>
  <c r="J57" i="14"/>
  <c r="K57" i="14"/>
  <c r="L57" i="14"/>
  <c r="M57" i="14"/>
  <c r="N57" i="14"/>
  <c r="Q57" i="14"/>
  <c r="G29" i="14"/>
  <c r="N29" i="14"/>
  <c r="Q29" i="14" s="1"/>
  <c r="B29" i="14"/>
  <c r="H29" i="14"/>
  <c r="I29" i="14"/>
  <c r="G30" i="14"/>
  <c r="B30" i="14"/>
  <c r="H30" i="14"/>
  <c r="I30" i="14"/>
  <c r="G31" i="14"/>
  <c r="B31" i="14"/>
  <c r="H31" i="14"/>
  <c r="I31" i="14"/>
  <c r="G32" i="14"/>
  <c r="B32" i="14"/>
  <c r="H32" i="14"/>
  <c r="I32" i="14"/>
  <c r="G33" i="14"/>
  <c r="J33" i="14"/>
  <c r="B33" i="14"/>
  <c r="H33" i="14"/>
  <c r="I33" i="14"/>
  <c r="Q4" i="12" l="1"/>
  <c r="F33" i="14"/>
  <c r="L30" i="14"/>
  <c r="F29" i="14"/>
  <c r="N36" i="12"/>
  <c r="L33" i="14"/>
  <c r="N35" i="12"/>
  <c r="N34" i="12"/>
  <c r="D33" i="14"/>
  <c r="E33" i="14"/>
  <c r="N33" i="12"/>
  <c r="M30" i="14"/>
  <c r="K30" i="14"/>
  <c r="N31" i="12"/>
  <c r="F30" i="14"/>
  <c r="J30" i="14"/>
  <c r="N30" i="12"/>
  <c r="D30" i="14"/>
  <c r="E30" i="14"/>
  <c r="E29" i="14"/>
  <c r="D29" i="14"/>
  <c r="J29" i="14"/>
  <c r="K31" i="14"/>
  <c r="N31" i="14"/>
  <c r="Q31" i="14" s="1"/>
  <c r="M32" i="14"/>
  <c r="L32" i="14"/>
  <c r="K32" i="14"/>
  <c r="J31" i="14"/>
  <c r="L31" i="14"/>
  <c r="M33" i="14"/>
  <c r="E31" i="14"/>
  <c r="F31" i="14"/>
  <c r="D31" i="14"/>
  <c r="K33" i="14"/>
  <c r="J32" i="14"/>
  <c r="M31" i="14"/>
  <c r="F32" i="14"/>
  <c r="M29" i="14"/>
  <c r="E32" i="14"/>
  <c r="L29" i="14"/>
  <c r="K29" i="14"/>
  <c r="D32" i="14"/>
  <c r="N30" i="14" l="1"/>
  <c r="Q30" i="14" s="1"/>
  <c r="N32" i="14"/>
  <c r="Q32" i="14" s="1"/>
  <c r="N33" i="14"/>
  <c r="Q33" i="14" s="1"/>
  <c r="N32" i="12"/>
  <c r="N29" i="12"/>
  <c r="L58" i="14"/>
  <c r="L59" i="14"/>
  <c r="L60" i="14"/>
  <c r="L61" i="14"/>
  <c r="L62" i="14"/>
  <c r="L63" i="14"/>
  <c r="L64" i="14"/>
  <c r="L65" i="14"/>
  <c r="L66" i="14"/>
  <c r="L67" i="14"/>
  <c r="L68" i="14"/>
  <c r="L69" i="14"/>
  <c r="L70" i="14"/>
  <c r="L71" i="14"/>
  <c r="L72" i="14"/>
  <c r="L73" i="14"/>
  <c r="L74" i="14"/>
  <c r="L75" i="14"/>
  <c r="L76" i="14"/>
  <c r="G28" i="14" l="1"/>
  <c r="B28" i="14"/>
  <c r="H28" i="14"/>
  <c r="I28" i="14"/>
  <c r="N28" i="12"/>
  <c r="J5" i="15" l="1"/>
  <c r="D3" i="15"/>
  <c r="J17" i="15"/>
  <c r="F23" i="15"/>
  <c r="Q29" i="12"/>
  <c r="L24" i="14"/>
  <c r="L20" i="14"/>
  <c r="M28" i="14"/>
  <c r="L28" i="14"/>
  <c r="N28" i="14"/>
  <c r="Q28" i="14" s="1"/>
  <c r="L22" i="14"/>
  <c r="F28" i="14"/>
  <c r="D28" i="14"/>
  <c r="E14" i="14"/>
  <c r="L18" i="14"/>
  <c r="J28" i="14"/>
  <c r="L15" i="14"/>
  <c r="E28" i="14"/>
  <c r="K4" i="15"/>
  <c r="L16" i="14"/>
  <c r="L26" i="14"/>
  <c r="L6" i="14"/>
  <c r="L3" i="14"/>
  <c r="N25" i="14"/>
  <c r="Q25" i="14" s="1"/>
  <c r="M9" i="15"/>
  <c r="L8" i="14"/>
  <c r="L12" i="14"/>
  <c r="L4" i="14"/>
  <c r="L13" i="14"/>
  <c r="L14" i="14"/>
  <c r="L10" i="14"/>
  <c r="E7" i="15"/>
  <c r="L23" i="14"/>
  <c r="L17" i="14"/>
  <c r="L7" i="14"/>
  <c r="L5" i="14"/>
  <c r="L27" i="14"/>
  <c r="L21" i="14"/>
  <c r="L11" i="14"/>
  <c r="L25" i="14"/>
  <c r="L19" i="14"/>
  <c r="E18" i="14"/>
  <c r="L10" i="15"/>
  <c r="L9" i="14"/>
  <c r="E28" i="15"/>
  <c r="K28" i="14"/>
  <c r="E25" i="15"/>
  <c r="O14" i="12"/>
  <c r="O15" i="12"/>
  <c r="P17" i="12"/>
  <c r="O21" i="12"/>
  <c r="P22" i="12"/>
  <c r="P23" i="12"/>
  <c r="O26" i="12"/>
  <c r="P28" i="12"/>
  <c r="D29" i="15"/>
  <c r="E29" i="15"/>
  <c r="F29" i="15"/>
  <c r="G29" i="15"/>
  <c r="H29" i="15"/>
  <c r="I29" i="15"/>
  <c r="J29" i="15"/>
  <c r="K29" i="15"/>
  <c r="L29" i="15"/>
  <c r="M29" i="15"/>
  <c r="N29" i="15"/>
  <c r="Q29" i="15" s="1"/>
  <c r="D30" i="15"/>
  <c r="E30" i="15"/>
  <c r="F30" i="15"/>
  <c r="G30" i="15"/>
  <c r="H30" i="15"/>
  <c r="I30" i="15"/>
  <c r="J30" i="15"/>
  <c r="K30" i="15"/>
  <c r="L30" i="15"/>
  <c r="M30" i="15"/>
  <c r="N30" i="15"/>
  <c r="Q30" i="15" s="1"/>
  <c r="D31" i="15"/>
  <c r="E31" i="15"/>
  <c r="F31" i="15"/>
  <c r="G31" i="15"/>
  <c r="H31" i="15"/>
  <c r="I31" i="15"/>
  <c r="J31" i="15"/>
  <c r="K31" i="15"/>
  <c r="L31" i="15"/>
  <c r="M31" i="15"/>
  <c r="N31" i="15"/>
  <c r="Q31" i="15" s="1"/>
  <c r="D32" i="15"/>
  <c r="E32" i="15"/>
  <c r="F32" i="15"/>
  <c r="G32" i="15"/>
  <c r="H32" i="15"/>
  <c r="I32" i="15"/>
  <c r="J32" i="15"/>
  <c r="K32" i="15"/>
  <c r="L32" i="15"/>
  <c r="M32" i="15"/>
  <c r="N32" i="15"/>
  <c r="Q32" i="15" s="1"/>
  <c r="D33" i="15"/>
  <c r="E33" i="15"/>
  <c r="F33" i="15"/>
  <c r="G33" i="15"/>
  <c r="H33" i="15"/>
  <c r="I33" i="15"/>
  <c r="J33" i="15"/>
  <c r="K33" i="15"/>
  <c r="L33" i="15"/>
  <c r="M33" i="15"/>
  <c r="N33" i="15"/>
  <c r="Q33" i="15" s="1"/>
  <c r="D34" i="15"/>
  <c r="E34" i="15"/>
  <c r="F34" i="15"/>
  <c r="G34" i="15"/>
  <c r="H34" i="15"/>
  <c r="I34" i="15"/>
  <c r="J34" i="15"/>
  <c r="K34" i="15"/>
  <c r="L34" i="15"/>
  <c r="M34" i="15"/>
  <c r="N34" i="15"/>
  <c r="Q34" i="15" s="1"/>
  <c r="D35" i="15"/>
  <c r="E35" i="15"/>
  <c r="F35" i="15"/>
  <c r="G35" i="15"/>
  <c r="H35" i="15"/>
  <c r="I35" i="15"/>
  <c r="J35" i="15"/>
  <c r="K35" i="15"/>
  <c r="L35" i="15"/>
  <c r="M35" i="15"/>
  <c r="N35" i="15"/>
  <c r="Q35" i="15" s="1"/>
  <c r="D36" i="15"/>
  <c r="E36" i="15"/>
  <c r="F36" i="15"/>
  <c r="G36" i="15"/>
  <c r="H36" i="15"/>
  <c r="I36" i="15"/>
  <c r="J36" i="15"/>
  <c r="K36" i="15"/>
  <c r="L36" i="15"/>
  <c r="M36" i="15"/>
  <c r="N36" i="15"/>
  <c r="Q36" i="15" s="1"/>
  <c r="D37" i="15"/>
  <c r="E37" i="15"/>
  <c r="F37" i="15"/>
  <c r="G37" i="15"/>
  <c r="H37" i="15"/>
  <c r="I37" i="15"/>
  <c r="J37" i="15"/>
  <c r="K37" i="15"/>
  <c r="L37" i="15"/>
  <c r="M37" i="15"/>
  <c r="N37" i="15"/>
  <c r="Q37" i="15" s="1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D29" i="13"/>
  <c r="E29" i="13"/>
  <c r="F29" i="13"/>
  <c r="G29" i="13"/>
  <c r="H29" i="13"/>
  <c r="I29" i="13"/>
  <c r="J29" i="13"/>
  <c r="K29" i="13"/>
  <c r="L29" i="13"/>
  <c r="M29" i="13"/>
  <c r="N29" i="13"/>
  <c r="Q29" i="13" s="1"/>
  <c r="D30" i="13"/>
  <c r="E30" i="13"/>
  <c r="F30" i="13"/>
  <c r="G30" i="13"/>
  <c r="H30" i="13"/>
  <c r="I30" i="13"/>
  <c r="J30" i="13"/>
  <c r="K30" i="13"/>
  <c r="L30" i="13"/>
  <c r="M30" i="13"/>
  <c r="N30" i="13"/>
  <c r="Q30" i="13" s="1"/>
  <c r="D31" i="13"/>
  <c r="E31" i="13"/>
  <c r="F31" i="13"/>
  <c r="G31" i="13"/>
  <c r="H31" i="13"/>
  <c r="I31" i="13"/>
  <c r="J31" i="13"/>
  <c r="K31" i="13"/>
  <c r="L31" i="13"/>
  <c r="M31" i="13"/>
  <c r="N31" i="13"/>
  <c r="Q31" i="13" s="1"/>
  <c r="D32" i="13"/>
  <c r="E32" i="13"/>
  <c r="F32" i="13"/>
  <c r="G32" i="13"/>
  <c r="H32" i="13"/>
  <c r="I32" i="13"/>
  <c r="J32" i="13"/>
  <c r="K32" i="13"/>
  <c r="L32" i="13"/>
  <c r="M32" i="13"/>
  <c r="N32" i="13"/>
  <c r="Q32" i="13" s="1"/>
  <c r="D33" i="13"/>
  <c r="E33" i="13"/>
  <c r="F33" i="13"/>
  <c r="G33" i="13"/>
  <c r="H33" i="13"/>
  <c r="I33" i="13"/>
  <c r="J33" i="13"/>
  <c r="K33" i="13"/>
  <c r="L33" i="13"/>
  <c r="M33" i="13"/>
  <c r="N33" i="13"/>
  <c r="Q33" i="13" s="1"/>
  <c r="D34" i="13"/>
  <c r="E34" i="13"/>
  <c r="F34" i="13"/>
  <c r="G34" i="13"/>
  <c r="H34" i="13"/>
  <c r="I34" i="13"/>
  <c r="J34" i="13"/>
  <c r="K34" i="13"/>
  <c r="L34" i="13"/>
  <c r="M34" i="13"/>
  <c r="N34" i="13"/>
  <c r="Q34" i="13" s="1"/>
  <c r="D35" i="13"/>
  <c r="E35" i="13"/>
  <c r="F35" i="13"/>
  <c r="G35" i="13"/>
  <c r="H35" i="13"/>
  <c r="I35" i="13"/>
  <c r="J35" i="13"/>
  <c r="K35" i="13"/>
  <c r="L35" i="13"/>
  <c r="M35" i="13"/>
  <c r="N35" i="13"/>
  <c r="Q35" i="13" s="1"/>
  <c r="D36" i="13"/>
  <c r="E36" i="13"/>
  <c r="F36" i="13"/>
  <c r="G36" i="13"/>
  <c r="H36" i="13"/>
  <c r="I36" i="13"/>
  <c r="J36" i="13"/>
  <c r="K36" i="13"/>
  <c r="L36" i="13"/>
  <c r="M36" i="13"/>
  <c r="N36" i="13"/>
  <c r="Q36" i="13" s="1"/>
  <c r="D37" i="13"/>
  <c r="E37" i="13"/>
  <c r="F37" i="13"/>
  <c r="G37" i="13"/>
  <c r="H37" i="13"/>
  <c r="I37" i="13"/>
  <c r="J37" i="13"/>
  <c r="K37" i="13"/>
  <c r="L37" i="13"/>
  <c r="M37" i="13"/>
  <c r="N37" i="13"/>
  <c r="Q37" i="13" s="1"/>
  <c r="D38" i="13"/>
  <c r="E38" i="13"/>
  <c r="F38" i="13"/>
  <c r="G38" i="13"/>
  <c r="H38" i="13"/>
  <c r="I38" i="13"/>
  <c r="J38" i="13"/>
  <c r="K38" i="13"/>
  <c r="L38" i="13"/>
  <c r="M38" i="13"/>
  <c r="N38" i="13"/>
  <c r="Q38" i="13" s="1"/>
  <c r="D39" i="13"/>
  <c r="E39" i="13"/>
  <c r="F39" i="13"/>
  <c r="G39" i="13"/>
  <c r="H39" i="13"/>
  <c r="I39" i="13"/>
  <c r="J39" i="13"/>
  <c r="K39" i="13"/>
  <c r="L39" i="13"/>
  <c r="M39" i="13"/>
  <c r="N39" i="13"/>
  <c r="Q39" i="13" s="1"/>
  <c r="D40" i="13"/>
  <c r="E40" i="13"/>
  <c r="F40" i="13"/>
  <c r="G40" i="13"/>
  <c r="H40" i="13"/>
  <c r="I40" i="13"/>
  <c r="J40" i="13"/>
  <c r="K40" i="13"/>
  <c r="L40" i="13"/>
  <c r="M40" i="13"/>
  <c r="N40" i="13"/>
  <c r="Q40" i="13" s="1"/>
  <c r="D41" i="13"/>
  <c r="E41" i="13"/>
  <c r="F41" i="13"/>
  <c r="G41" i="13"/>
  <c r="H41" i="13"/>
  <c r="I41" i="13"/>
  <c r="J41" i="13"/>
  <c r="K41" i="13"/>
  <c r="L41" i="13"/>
  <c r="M41" i="13"/>
  <c r="N41" i="13"/>
  <c r="Q41" i="13" s="1"/>
  <c r="J2" i="13"/>
  <c r="D29" i="12"/>
  <c r="E29" i="12"/>
  <c r="F29" i="12"/>
  <c r="G29" i="12"/>
  <c r="H29" i="12"/>
  <c r="I29" i="12"/>
  <c r="J29" i="12"/>
  <c r="K29" i="12"/>
  <c r="L29" i="12"/>
  <c r="M29" i="12"/>
  <c r="O29" i="12"/>
  <c r="P29" i="12"/>
  <c r="D30" i="12"/>
  <c r="E30" i="12"/>
  <c r="F30" i="12"/>
  <c r="G30" i="12"/>
  <c r="H30" i="12"/>
  <c r="I30" i="12"/>
  <c r="J30" i="12"/>
  <c r="K30" i="12"/>
  <c r="L30" i="12"/>
  <c r="M30" i="12"/>
  <c r="O30" i="12"/>
  <c r="P30" i="12"/>
  <c r="Q30" i="12"/>
  <c r="D31" i="12"/>
  <c r="E31" i="12"/>
  <c r="F31" i="12"/>
  <c r="G31" i="12"/>
  <c r="H31" i="12"/>
  <c r="I31" i="12"/>
  <c r="J31" i="12"/>
  <c r="K31" i="12"/>
  <c r="L31" i="12"/>
  <c r="M31" i="12"/>
  <c r="O31" i="12"/>
  <c r="P31" i="12"/>
  <c r="Q31" i="12"/>
  <c r="D32" i="12"/>
  <c r="E32" i="12"/>
  <c r="F32" i="12"/>
  <c r="G32" i="12"/>
  <c r="H32" i="12"/>
  <c r="I32" i="12"/>
  <c r="J32" i="12"/>
  <c r="K32" i="12"/>
  <c r="L32" i="12"/>
  <c r="M32" i="12"/>
  <c r="O32" i="12"/>
  <c r="P32" i="12"/>
  <c r="Q32" i="12"/>
  <c r="D33" i="12"/>
  <c r="E33" i="12"/>
  <c r="F33" i="12"/>
  <c r="G33" i="12"/>
  <c r="H33" i="12"/>
  <c r="I33" i="12"/>
  <c r="J33" i="12"/>
  <c r="K33" i="12"/>
  <c r="L33" i="12"/>
  <c r="M33" i="12"/>
  <c r="O33" i="12"/>
  <c r="P33" i="12"/>
  <c r="Q33" i="12"/>
  <c r="D34" i="12"/>
  <c r="E34" i="12"/>
  <c r="F34" i="12"/>
  <c r="G34" i="12"/>
  <c r="H34" i="12"/>
  <c r="I34" i="12"/>
  <c r="J34" i="12"/>
  <c r="K34" i="12"/>
  <c r="L34" i="12"/>
  <c r="M34" i="12"/>
  <c r="O34" i="12"/>
  <c r="P34" i="12"/>
  <c r="Q34" i="12"/>
  <c r="D35" i="12"/>
  <c r="E35" i="12"/>
  <c r="F35" i="12"/>
  <c r="G35" i="12"/>
  <c r="H35" i="12"/>
  <c r="I35" i="12"/>
  <c r="J35" i="12"/>
  <c r="K35" i="12"/>
  <c r="L35" i="12"/>
  <c r="M35" i="12"/>
  <c r="O35" i="12"/>
  <c r="P35" i="12"/>
  <c r="Q35" i="12"/>
  <c r="D36" i="12"/>
  <c r="E36" i="12"/>
  <c r="F36" i="12"/>
  <c r="G36" i="12"/>
  <c r="H36" i="12"/>
  <c r="I36" i="12"/>
  <c r="J36" i="12"/>
  <c r="K36" i="12"/>
  <c r="L36" i="12"/>
  <c r="M36" i="12"/>
  <c r="O36" i="12"/>
  <c r="P36" i="12"/>
  <c r="Q36" i="12"/>
  <c r="B29" i="15"/>
  <c r="B30" i="15"/>
  <c r="B31" i="15"/>
  <c r="B32" i="15"/>
  <c r="B33" i="15"/>
  <c r="B34" i="15"/>
  <c r="B35" i="15"/>
  <c r="B36" i="15"/>
  <c r="B37" i="15"/>
  <c r="B29" i="12"/>
  <c r="B30" i="12"/>
  <c r="B31" i="12"/>
  <c r="B32" i="12"/>
  <c r="B33" i="12"/>
  <c r="B34" i="12"/>
  <c r="B35" i="12"/>
  <c r="B36" i="12"/>
  <c r="K2" i="7"/>
  <c r="D2" i="12" s="1"/>
  <c r="G3" i="13"/>
  <c r="B3" i="13"/>
  <c r="D3" i="12"/>
  <c r="E3" i="12"/>
  <c r="F3" i="12"/>
  <c r="H3" i="13"/>
  <c r="I3" i="12"/>
  <c r="K3" i="12"/>
  <c r="L3" i="12"/>
  <c r="M3" i="12"/>
  <c r="D3" i="13"/>
  <c r="E3" i="13"/>
  <c r="F3" i="13"/>
  <c r="K3" i="13"/>
  <c r="L3" i="13"/>
  <c r="M3" i="13"/>
  <c r="G4" i="15"/>
  <c r="B4" i="15"/>
  <c r="D4" i="13"/>
  <c r="E4" i="13"/>
  <c r="F4" i="13"/>
  <c r="K4" i="13"/>
  <c r="L4" i="13"/>
  <c r="M4" i="13"/>
  <c r="B5" i="14"/>
  <c r="H5" i="14"/>
  <c r="D5" i="13"/>
  <c r="E5" i="13"/>
  <c r="F5" i="13"/>
  <c r="K5" i="13"/>
  <c r="L5" i="13"/>
  <c r="M5" i="13"/>
  <c r="I6" i="13"/>
  <c r="D6" i="13"/>
  <c r="E6" i="13"/>
  <c r="F6" i="13"/>
  <c r="K6" i="13"/>
  <c r="L6" i="13"/>
  <c r="M6" i="13"/>
  <c r="B7" i="13"/>
  <c r="H7" i="14"/>
  <c r="I7" i="13"/>
  <c r="D7" i="13"/>
  <c r="E7" i="13"/>
  <c r="F7" i="13"/>
  <c r="K7" i="13"/>
  <c r="L7" i="13"/>
  <c r="M7" i="13"/>
  <c r="I8" i="13"/>
  <c r="D8" i="13"/>
  <c r="E8" i="13"/>
  <c r="F8" i="13"/>
  <c r="K8" i="13"/>
  <c r="L8" i="13"/>
  <c r="M8" i="13"/>
  <c r="B9" i="13"/>
  <c r="I9" i="15"/>
  <c r="D9" i="13"/>
  <c r="E9" i="13"/>
  <c r="F9" i="13"/>
  <c r="K9" i="13"/>
  <c r="L9" i="13"/>
  <c r="M9" i="13"/>
  <c r="G10" i="14"/>
  <c r="B10" i="14"/>
  <c r="D10" i="12"/>
  <c r="E10" i="12"/>
  <c r="F10" i="12"/>
  <c r="K10" i="12"/>
  <c r="L10" i="12"/>
  <c r="M10" i="12"/>
  <c r="D10" i="13"/>
  <c r="E10" i="13"/>
  <c r="F10" i="13"/>
  <c r="K10" i="13"/>
  <c r="L10" i="13"/>
  <c r="M10" i="13"/>
  <c r="D11" i="12"/>
  <c r="E11" i="12"/>
  <c r="F11" i="12"/>
  <c r="J11" i="12"/>
  <c r="H11" i="12"/>
  <c r="I11" i="14"/>
  <c r="K11" i="12"/>
  <c r="L11" i="12"/>
  <c r="M11" i="12"/>
  <c r="D11" i="13"/>
  <c r="E11" i="13"/>
  <c r="F11" i="13"/>
  <c r="K11" i="13"/>
  <c r="L11" i="13"/>
  <c r="M11" i="13"/>
  <c r="G12" i="15"/>
  <c r="B12" i="13"/>
  <c r="D12" i="12"/>
  <c r="E12" i="12"/>
  <c r="F12" i="12"/>
  <c r="K12" i="12"/>
  <c r="L12" i="12"/>
  <c r="M12" i="12"/>
  <c r="D12" i="13"/>
  <c r="E12" i="13"/>
  <c r="F12" i="13"/>
  <c r="K12" i="13"/>
  <c r="L12" i="13"/>
  <c r="M12" i="13"/>
  <c r="D13" i="12"/>
  <c r="E13" i="12"/>
  <c r="F13" i="12"/>
  <c r="J13" i="12"/>
  <c r="H13" i="12"/>
  <c r="I13" i="13"/>
  <c r="K13" i="12"/>
  <c r="L13" i="12"/>
  <c r="M13" i="12"/>
  <c r="D13" i="13"/>
  <c r="E13" i="13"/>
  <c r="F13" i="13"/>
  <c r="K13" i="13"/>
  <c r="L13" i="13"/>
  <c r="M13" i="13"/>
  <c r="G14" i="14"/>
  <c r="D14" i="12"/>
  <c r="E14" i="12"/>
  <c r="F14" i="12"/>
  <c r="I14" i="14"/>
  <c r="K14" i="12"/>
  <c r="L14" i="12"/>
  <c r="M14" i="12"/>
  <c r="D14" i="13"/>
  <c r="E14" i="13"/>
  <c r="F14" i="13"/>
  <c r="K14" i="13"/>
  <c r="L14" i="13"/>
  <c r="M14" i="13"/>
  <c r="B15" i="15"/>
  <c r="D15" i="12"/>
  <c r="E15" i="12"/>
  <c r="F15" i="12"/>
  <c r="J15" i="12"/>
  <c r="H15" i="14"/>
  <c r="K15" i="12"/>
  <c r="L15" i="12"/>
  <c r="M15" i="12"/>
  <c r="D15" i="13"/>
  <c r="E15" i="13"/>
  <c r="F15" i="13"/>
  <c r="K15" i="13"/>
  <c r="L15" i="13"/>
  <c r="M15" i="13"/>
  <c r="B16" i="13"/>
  <c r="D16" i="12"/>
  <c r="E16" i="12"/>
  <c r="F16" i="12"/>
  <c r="H16" i="12"/>
  <c r="I16" i="14"/>
  <c r="K16" i="12"/>
  <c r="L16" i="12"/>
  <c r="M16" i="12"/>
  <c r="D16" i="13"/>
  <c r="E16" i="13"/>
  <c r="F16" i="13"/>
  <c r="K16" i="13"/>
  <c r="L16" i="13"/>
  <c r="M16" i="13"/>
  <c r="B17" i="14"/>
  <c r="D17" i="12"/>
  <c r="E17" i="12"/>
  <c r="F17" i="12"/>
  <c r="H17" i="15"/>
  <c r="I17" i="13"/>
  <c r="K17" i="12"/>
  <c r="L17" i="12"/>
  <c r="M17" i="12"/>
  <c r="D17" i="13"/>
  <c r="E17" i="13"/>
  <c r="F17" i="13"/>
  <c r="K17" i="13"/>
  <c r="L17" i="13"/>
  <c r="M17" i="13"/>
  <c r="G18" i="13"/>
  <c r="B18" i="12"/>
  <c r="D18" i="12"/>
  <c r="E18" i="12"/>
  <c r="F18" i="12"/>
  <c r="J18" i="12"/>
  <c r="H18" i="15"/>
  <c r="K18" i="12"/>
  <c r="L18" i="12"/>
  <c r="M18" i="12"/>
  <c r="D18" i="13"/>
  <c r="E18" i="13"/>
  <c r="F18" i="13"/>
  <c r="K18" i="13"/>
  <c r="L18" i="13"/>
  <c r="M18" i="13"/>
  <c r="B19" i="14"/>
  <c r="D19" i="12"/>
  <c r="E19" i="12"/>
  <c r="F19" i="12"/>
  <c r="H19" i="13"/>
  <c r="I19" i="13"/>
  <c r="K19" i="12"/>
  <c r="L19" i="12"/>
  <c r="M19" i="12"/>
  <c r="D19" i="13"/>
  <c r="E19" i="13"/>
  <c r="F19" i="13"/>
  <c r="K19" i="13"/>
  <c r="L19" i="13"/>
  <c r="M19" i="13"/>
  <c r="G20" i="15"/>
  <c r="B20" i="13"/>
  <c r="D20" i="12"/>
  <c r="E20" i="12"/>
  <c r="F20" i="12"/>
  <c r="H20" i="15"/>
  <c r="K20" i="12"/>
  <c r="L20" i="12"/>
  <c r="M20" i="12"/>
  <c r="D20" i="13"/>
  <c r="E20" i="13"/>
  <c r="F20" i="13"/>
  <c r="K20" i="13"/>
  <c r="L20" i="13"/>
  <c r="M20" i="13"/>
  <c r="B21" i="12"/>
  <c r="D21" i="12"/>
  <c r="E21" i="12"/>
  <c r="F21" i="12"/>
  <c r="J21" i="12"/>
  <c r="H21" i="14"/>
  <c r="I21" i="13"/>
  <c r="K21" i="12"/>
  <c r="L21" i="12"/>
  <c r="M21" i="12"/>
  <c r="D21" i="13"/>
  <c r="E21" i="13"/>
  <c r="F21" i="13"/>
  <c r="K21" i="13"/>
  <c r="L21" i="13"/>
  <c r="M21" i="13"/>
  <c r="G22" i="13"/>
  <c r="B22" i="14"/>
  <c r="D22" i="12"/>
  <c r="E22" i="12"/>
  <c r="F22" i="12"/>
  <c r="I22" i="13"/>
  <c r="K22" i="12"/>
  <c r="L22" i="12"/>
  <c r="M22" i="12"/>
  <c r="D22" i="13"/>
  <c r="E22" i="13"/>
  <c r="F22" i="13"/>
  <c r="K22" i="13"/>
  <c r="L22" i="13"/>
  <c r="M22" i="13"/>
  <c r="G23" i="12"/>
  <c r="B23" i="13"/>
  <c r="D23" i="12"/>
  <c r="E23" i="12"/>
  <c r="F23" i="12"/>
  <c r="J23" i="12"/>
  <c r="H23" i="12"/>
  <c r="K23" i="12"/>
  <c r="L23" i="12"/>
  <c r="M23" i="12"/>
  <c r="D23" i="13"/>
  <c r="E23" i="13"/>
  <c r="F23" i="13"/>
  <c r="K23" i="13"/>
  <c r="L23" i="13"/>
  <c r="M23" i="13"/>
  <c r="G24" i="15"/>
  <c r="J24" i="15"/>
  <c r="D24" i="12"/>
  <c r="E24" i="12"/>
  <c r="F24" i="12"/>
  <c r="J24" i="12"/>
  <c r="H24" i="15"/>
  <c r="I24" i="13"/>
  <c r="K24" i="12"/>
  <c r="L24" i="12"/>
  <c r="M24" i="12"/>
  <c r="D24" i="13"/>
  <c r="E24" i="13"/>
  <c r="F24" i="13"/>
  <c r="K24" i="13"/>
  <c r="L24" i="13"/>
  <c r="M24" i="13"/>
  <c r="G25" i="12"/>
  <c r="B25" i="12"/>
  <c r="D25" i="12"/>
  <c r="E25" i="12"/>
  <c r="F25" i="12"/>
  <c r="K25" i="12"/>
  <c r="L25" i="12"/>
  <c r="M25" i="12"/>
  <c r="D25" i="13"/>
  <c r="E25" i="13"/>
  <c r="F25" i="13"/>
  <c r="K25" i="13"/>
  <c r="L25" i="13"/>
  <c r="M25" i="13"/>
  <c r="G26" i="15"/>
  <c r="B26" i="15"/>
  <c r="D26" i="12"/>
  <c r="E26" i="12"/>
  <c r="F26" i="12"/>
  <c r="K26" i="12"/>
  <c r="L26" i="12"/>
  <c r="M26" i="12"/>
  <c r="D26" i="13"/>
  <c r="E26" i="13"/>
  <c r="F26" i="13"/>
  <c r="K26" i="13"/>
  <c r="L26" i="13"/>
  <c r="M26" i="13"/>
  <c r="B27" i="14"/>
  <c r="D27" i="12"/>
  <c r="E27" i="12"/>
  <c r="F27" i="12"/>
  <c r="H27" i="13"/>
  <c r="I27" i="13"/>
  <c r="K27" i="12"/>
  <c r="L27" i="12"/>
  <c r="M27" i="12"/>
  <c r="D27" i="13"/>
  <c r="E27" i="13"/>
  <c r="F27" i="13"/>
  <c r="K27" i="13"/>
  <c r="L27" i="13"/>
  <c r="M27" i="13"/>
  <c r="G28" i="15"/>
  <c r="B28" i="13"/>
  <c r="D28" i="12"/>
  <c r="E28" i="12"/>
  <c r="F28" i="12"/>
  <c r="H28" i="15"/>
  <c r="K28" i="12"/>
  <c r="L28" i="12"/>
  <c r="M28" i="12"/>
  <c r="D28" i="13"/>
  <c r="E28" i="13"/>
  <c r="F28" i="13"/>
  <c r="K28" i="13"/>
  <c r="L28" i="13"/>
  <c r="M28" i="13"/>
  <c r="AJ2" i="7"/>
  <c r="P20" i="12"/>
  <c r="P15" i="12"/>
  <c r="P16" i="12"/>
  <c r="P21" i="12"/>
  <c r="P26" i="12"/>
  <c r="P27" i="12"/>
  <c r="I2" i="3"/>
  <c r="N21" i="12"/>
  <c r="N11" i="12"/>
  <c r="B2" i="7"/>
  <c r="AE2" i="7"/>
  <c r="E2" i="13" s="1"/>
  <c r="L2" i="7"/>
  <c r="E2" i="12" s="1"/>
  <c r="AP2" i="7"/>
  <c r="R2" i="13" s="1"/>
  <c r="AO2" i="7"/>
  <c r="M2" i="13" s="1"/>
  <c r="AN2" i="7"/>
  <c r="L2" i="13" s="1"/>
  <c r="AA2" i="7"/>
  <c r="R2" i="12" s="1"/>
  <c r="Z2" i="7"/>
  <c r="M2" i="12" s="1"/>
  <c r="Y2" i="7"/>
  <c r="L2" i="12" s="1"/>
  <c r="N6" i="15" l="1"/>
  <c r="Q6" i="15" s="1"/>
  <c r="N4" i="15"/>
  <c r="Q4" i="15" s="1"/>
  <c r="N11" i="15"/>
  <c r="Q11" i="15" s="1"/>
  <c r="N19" i="14"/>
  <c r="Q19" i="14" s="1"/>
  <c r="N18" i="14"/>
  <c r="Q18" i="14" s="1"/>
  <c r="N17" i="14"/>
  <c r="Q17" i="14" s="1"/>
  <c r="N16" i="14"/>
  <c r="Q16" i="14" s="1"/>
  <c r="O27" i="12"/>
  <c r="O24" i="12"/>
  <c r="O19" i="12"/>
  <c r="O28" i="12"/>
  <c r="O25" i="12"/>
  <c r="O12" i="12"/>
  <c r="O16" i="12"/>
  <c r="O13" i="12"/>
  <c r="O18" i="12"/>
  <c r="O22" i="12"/>
  <c r="O20" i="12"/>
  <c r="N24" i="12"/>
  <c r="N18" i="12"/>
  <c r="P24" i="12"/>
  <c r="P18" i="12"/>
  <c r="P12" i="12"/>
  <c r="P25" i="12"/>
  <c r="P19" i="12"/>
  <c r="P13" i="12"/>
  <c r="M10" i="15"/>
  <c r="N20" i="12"/>
  <c r="M23" i="14"/>
  <c r="E20" i="14"/>
  <c r="P14" i="12"/>
  <c r="D14" i="14"/>
  <c r="N14" i="12"/>
  <c r="N15" i="12"/>
  <c r="N13" i="12"/>
  <c r="O3" i="12"/>
  <c r="N23" i="12"/>
  <c r="N17" i="12"/>
  <c r="E25" i="14"/>
  <c r="M24" i="14"/>
  <c r="E24" i="14"/>
  <c r="D20" i="15"/>
  <c r="K18" i="15"/>
  <c r="K12" i="15"/>
  <c r="B16" i="12"/>
  <c r="B19" i="13"/>
  <c r="B23" i="15"/>
  <c r="B12" i="15"/>
  <c r="G28" i="12"/>
  <c r="H24" i="12"/>
  <c r="G22" i="12"/>
  <c r="I16" i="12"/>
  <c r="G26" i="13"/>
  <c r="H23" i="13"/>
  <c r="G14" i="13"/>
  <c r="G22" i="14"/>
  <c r="H17" i="14"/>
  <c r="G22" i="15"/>
  <c r="H19" i="15"/>
  <c r="H13" i="15"/>
  <c r="N28" i="15"/>
  <c r="Q28" i="15" s="1"/>
  <c r="D24" i="15"/>
  <c r="J20" i="15"/>
  <c r="B17" i="12"/>
  <c r="B21" i="13"/>
  <c r="B21" i="14"/>
  <c r="B16" i="15"/>
  <c r="H28" i="12"/>
  <c r="G26" i="12"/>
  <c r="I24" i="12"/>
  <c r="I22" i="12"/>
  <c r="H18" i="12"/>
  <c r="I14" i="13"/>
  <c r="I22" i="14"/>
  <c r="H19" i="14"/>
  <c r="H13" i="14"/>
  <c r="I22" i="15"/>
  <c r="H21" i="15"/>
  <c r="G14" i="15"/>
  <c r="N25" i="12"/>
  <c r="N19" i="12"/>
  <c r="O10" i="12"/>
  <c r="L28" i="15"/>
  <c r="K21" i="15"/>
  <c r="L15" i="15"/>
  <c r="D12" i="15"/>
  <c r="B19" i="12"/>
  <c r="B12" i="14"/>
  <c r="B23" i="14"/>
  <c r="B17" i="15"/>
  <c r="H27" i="12"/>
  <c r="J22" i="12"/>
  <c r="H15" i="12"/>
  <c r="G14" i="12"/>
  <c r="G25" i="13"/>
  <c r="I16" i="13"/>
  <c r="H23" i="14"/>
  <c r="H23" i="15"/>
  <c r="I21" i="15"/>
  <c r="I14" i="15"/>
  <c r="N12" i="12"/>
  <c r="M28" i="15"/>
  <c r="K24" i="15"/>
  <c r="L21" i="15"/>
  <c r="D19" i="15"/>
  <c r="L17" i="15"/>
  <c r="F12" i="15"/>
  <c r="B22" i="12"/>
  <c r="B15" i="14"/>
  <c r="B15" i="13"/>
  <c r="B19" i="15"/>
  <c r="I21" i="12"/>
  <c r="I14" i="12"/>
  <c r="H24" i="13"/>
  <c r="H15" i="15"/>
  <c r="N24" i="14"/>
  <c r="Q24" i="14" s="1"/>
  <c r="D21" i="14"/>
  <c r="M21" i="15"/>
  <c r="F21" i="15"/>
  <c r="E19" i="15"/>
  <c r="D18" i="15"/>
  <c r="B12" i="12"/>
  <c r="B16" i="14"/>
  <c r="B21" i="15"/>
  <c r="H17" i="12"/>
  <c r="H15" i="13"/>
  <c r="H13" i="13"/>
  <c r="H27" i="14"/>
  <c r="H27" i="15"/>
  <c r="I16" i="15"/>
  <c r="N22" i="12"/>
  <c r="N16" i="12"/>
  <c r="N10" i="12"/>
  <c r="D25" i="14"/>
  <c r="D24" i="14"/>
  <c r="E21" i="14"/>
  <c r="J21" i="15"/>
  <c r="B17" i="13"/>
  <c r="B22" i="15"/>
  <c r="H19" i="12"/>
  <c r="G28" i="13"/>
  <c r="H17" i="13"/>
  <c r="G12" i="13"/>
  <c r="I21" i="14"/>
  <c r="H11" i="15"/>
  <c r="H11" i="14"/>
  <c r="P11" i="12"/>
  <c r="H11" i="13"/>
  <c r="P10" i="12"/>
  <c r="G10" i="13"/>
  <c r="G10" i="15"/>
  <c r="G10" i="12"/>
  <c r="B10" i="13"/>
  <c r="J10" i="12"/>
  <c r="B10" i="12"/>
  <c r="H5" i="13"/>
  <c r="B9" i="14"/>
  <c r="M4" i="14"/>
  <c r="H9" i="13"/>
  <c r="H9" i="15"/>
  <c r="I7" i="15"/>
  <c r="H7" i="15"/>
  <c r="H7" i="13"/>
  <c r="I4" i="13"/>
  <c r="G4" i="14"/>
  <c r="G4" i="13"/>
  <c r="B4" i="14"/>
  <c r="H5" i="15"/>
  <c r="D6" i="14"/>
  <c r="F6" i="15"/>
  <c r="J4" i="15"/>
  <c r="B4" i="13"/>
  <c r="F4" i="15"/>
  <c r="H9" i="14"/>
  <c r="B9" i="15"/>
  <c r="I7" i="14"/>
  <c r="I26" i="15"/>
  <c r="I26" i="14"/>
  <c r="I26" i="13"/>
  <c r="I26" i="12"/>
  <c r="G19" i="13"/>
  <c r="G19" i="15"/>
  <c r="G19" i="14"/>
  <c r="G19" i="12"/>
  <c r="I18" i="15"/>
  <c r="I18" i="14"/>
  <c r="I18" i="12"/>
  <c r="I18" i="13"/>
  <c r="I15" i="13"/>
  <c r="I15" i="15"/>
  <c r="I15" i="12"/>
  <c r="I15" i="14"/>
  <c r="D27" i="15"/>
  <c r="F27" i="15"/>
  <c r="L27" i="15"/>
  <c r="M27" i="15"/>
  <c r="J27" i="15"/>
  <c r="K27" i="15"/>
  <c r="H26" i="15"/>
  <c r="H26" i="14"/>
  <c r="H26" i="13"/>
  <c r="H26" i="12"/>
  <c r="G16" i="15"/>
  <c r="G16" i="12"/>
  <c r="G16" i="14"/>
  <c r="G16" i="13"/>
  <c r="B13" i="14"/>
  <c r="B13" i="13"/>
  <c r="B13" i="12"/>
  <c r="B13" i="15"/>
  <c r="G8" i="15"/>
  <c r="G8" i="13"/>
  <c r="G8" i="14"/>
  <c r="G27" i="13"/>
  <c r="G27" i="12"/>
  <c r="G27" i="15"/>
  <c r="G27" i="14"/>
  <c r="J26" i="12"/>
  <c r="I20" i="15"/>
  <c r="I20" i="14"/>
  <c r="I20" i="12"/>
  <c r="I20" i="13"/>
  <c r="J20" i="12"/>
  <c r="I28" i="15"/>
  <c r="I28" i="13"/>
  <c r="I28" i="12"/>
  <c r="J12" i="12"/>
  <c r="I25" i="13"/>
  <c r="I25" i="15"/>
  <c r="I25" i="12"/>
  <c r="I25" i="14"/>
  <c r="H25" i="13"/>
  <c r="H25" i="12"/>
  <c r="H25" i="15"/>
  <c r="H25" i="14"/>
  <c r="N27" i="12"/>
  <c r="J16" i="12"/>
  <c r="N26" i="12"/>
  <c r="B24" i="15"/>
  <c r="B24" i="13"/>
  <c r="B24" i="12"/>
  <c r="B24" i="14"/>
  <c r="I23" i="12"/>
  <c r="I23" i="13"/>
  <c r="I23" i="14"/>
  <c r="I23" i="15"/>
  <c r="G17" i="13"/>
  <c r="G17" i="15"/>
  <c r="G17" i="14"/>
  <c r="G17" i="12"/>
  <c r="K22" i="15"/>
  <c r="E22" i="15"/>
  <c r="F22" i="15"/>
  <c r="J22" i="15"/>
  <c r="N22" i="15"/>
  <c r="Q22" i="15" s="1"/>
  <c r="L22" i="15"/>
  <c r="M22" i="15"/>
  <c r="B14" i="14"/>
  <c r="B14" i="15"/>
  <c r="B14" i="13"/>
  <c r="B14" i="12"/>
  <c r="G6" i="15"/>
  <c r="G6" i="14"/>
  <c r="G6" i="13"/>
  <c r="B11" i="14"/>
  <c r="B11" i="15"/>
  <c r="B11" i="12"/>
  <c r="I10" i="15"/>
  <c r="I10" i="14"/>
  <c r="I10" i="12"/>
  <c r="J3" i="12"/>
  <c r="D14" i="15"/>
  <c r="B20" i="12"/>
  <c r="B27" i="15"/>
  <c r="G12" i="12"/>
  <c r="G21" i="13"/>
  <c r="G21" i="15"/>
  <c r="G21" i="14"/>
  <c r="H14" i="15"/>
  <c r="H14" i="14"/>
  <c r="H14" i="13"/>
  <c r="F13" i="15"/>
  <c r="D13" i="14"/>
  <c r="M13" i="15"/>
  <c r="K11" i="15"/>
  <c r="F11" i="15"/>
  <c r="H10" i="15"/>
  <c r="H10" i="14"/>
  <c r="H10" i="12"/>
  <c r="H10" i="13"/>
  <c r="M25" i="15"/>
  <c r="B25" i="14"/>
  <c r="B25" i="15"/>
  <c r="J14" i="12"/>
  <c r="G13" i="13"/>
  <c r="G13" i="12"/>
  <c r="G13" i="15"/>
  <c r="G13" i="14"/>
  <c r="G11" i="13"/>
  <c r="G11" i="15"/>
  <c r="G11" i="14"/>
  <c r="I5" i="13"/>
  <c r="I5" i="15"/>
  <c r="N25" i="15"/>
  <c r="Q25" i="15" s="1"/>
  <c r="G12" i="14"/>
  <c r="J25" i="12"/>
  <c r="I12" i="15"/>
  <c r="I12" i="14"/>
  <c r="B6" i="13"/>
  <c r="B6" i="12"/>
  <c r="I19" i="15"/>
  <c r="F25" i="14"/>
  <c r="H12" i="15"/>
  <c r="H12" i="14"/>
  <c r="H12" i="13"/>
  <c r="H12" i="12"/>
  <c r="E13" i="15"/>
  <c r="G20" i="14"/>
  <c r="B8" i="14"/>
  <c r="B8" i="15"/>
  <c r="B8" i="13"/>
  <c r="D13" i="15"/>
  <c r="B20" i="14"/>
  <c r="B20" i="15"/>
  <c r="G20" i="12"/>
  <c r="I17" i="12"/>
  <c r="H14" i="12"/>
  <c r="G11" i="12"/>
  <c r="I12" i="13"/>
  <c r="G24" i="14"/>
  <c r="J14" i="14"/>
  <c r="M14" i="14"/>
  <c r="I13" i="15"/>
  <c r="F25" i="15"/>
  <c r="M25" i="14"/>
  <c r="D25" i="15"/>
  <c r="E10" i="15"/>
  <c r="I9" i="13"/>
  <c r="B6" i="14"/>
  <c r="I19" i="14"/>
  <c r="B18" i="14"/>
  <c r="B18" i="15"/>
  <c r="L11" i="15"/>
  <c r="J19" i="12"/>
  <c r="H21" i="12"/>
  <c r="H21" i="13"/>
  <c r="E20" i="15"/>
  <c r="L20" i="15"/>
  <c r="M20" i="15"/>
  <c r="D20" i="14"/>
  <c r="M20" i="14"/>
  <c r="J18" i="15"/>
  <c r="D18" i="14"/>
  <c r="E18" i="15"/>
  <c r="F18" i="15"/>
  <c r="N18" i="15"/>
  <c r="Q18" i="15" s="1"/>
  <c r="B5" i="15"/>
  <c r="B5" i="13"/>
  <c r="J11" i="15"/>
  <c r="B6" i="15"/>
  <c r="I19" i="12"/>
  <c r="I27" i="15"/>
  <c r="I17" i="15"/>
  <c r="J28" i="12"/>
  <c r="I11" i="12"/>
  <c r="I11" i="13"/>
  <c r="I4" i="15"/>
  <c r="I4" i="14"/>
  <c r="E11" i="15"/>
  <c r="I13" i="12"/>
  <c r="I27" i="14"/>
  <c r="G18" i="15"/>
  <c r="G18" i="12"/>
  <c r="J17" i="12"/>
  <c r="B7" i="14"/>
  <c r="B7" i="15"/>
  <c r="B7" i="12"/>
  <c r="G5" i="13"/>
  <c r="G5" i="15"/>
  <c r="G5" i="14"/>
  <c r="D26" i="15"/>
  <c r="M26" i="15"/>
  <c r="F7" i="15"/>
  <c r="D7" i="15"/>
  <c r="M7" i="15"/>
  <c r="K10" i="15"/>
  <c r="B9" i="12"/>
  <c r="B18" i="13"/>
  <c r="I6" i="15"/>
  <c r="I6" i="14"/>
  <c r="B8" i="12"/>
  <c r="I27" i="12"/>
  <c r="B27" i="13"/>
  <c r="I5" i="14"/>
  <c r="B26" i="14"/>
  <c r="B26" i="12"/>
  <c r="B26" i="13"/>
  <c r="M13" i="14"/>
  <c r="G18" i="14"/>
  <c r="P3" i="12"/>
  <c r="J23" i="15"/>
  <c r="D23" i="14"/>
  <c r="J13" i="14"/>
  <c r="G7" i="13"/>
  <c r="G7" i="15"/>
  <c r="G7" i="14"/>
  <c r="H6" i="15"/>
  <c r="H6" i="14"/>
  <c r="H6" i="13"/>
  <c r="M14" i="15"/>
  <c r="J10" i="15"/>
  <c r="B5" i="12"/>
  <c r="B25" i="13"/>
  <c r="G24" i="13"/>
  <c r="G26" i="14"/>
  <c r="I11" i="15"/>
  <c r="H22" i="15"/>
  <c r="H22" i="14"/>
  <c r="H22" i="12"/>
  <c r="H22" i="13"/>
  <c r="F10" i="15"/>
  <c r="B28" i="15"/>
  <c r="B28" i="12"/>
  <c r="K24" i="14"/>
  <c r="I8" i="15"/>
  <c r="I8" i="14"/>
  <c r="B27" i="12"/>
  <c r="F28" i="15"/>
  <c r="J28" i="15"/>
  <c r="K28" i="15"/>
  <c r="I24" i="15"/>
  <c r="I24" i="14"/>
  <c r="G23" i="13"/>
  <c r="G23" i="15"/>
  <c r="G23" i="14"/>
  <c r="G15" i="13"/>
  <c r="G15" i="12"/>
  <c r="G15" i="15"/>
  <c r="G15" i="14"/>
  <c r="H8" i="15"/>
  <c r="H8" i="14"/>
  <c r="H8" i="13"/>
  <c r="L26" i="15"/>
  <c r="G24" i="12"/>
  <c r="G21" i="12"/>
  <c r="I10" i="13"/>
  <c r="J11" i="14"/>
  <c r="L14" i="15"/>
  <c r="I9" i="14"/>
  <c r="M19" i="15"/>
  <c r="H16" i="15"/>
  <c r="H16" i="14"/>
  <c r="H16" i="13"/>
  <c r="B23" i="12"/>
  <c r="B11" i="13"/>
  <c r="G20" i="13"/>
  <c r="I17" i="14"/>
  <c r="I13" i="14"/>
  <c r="H4" i="15"/>
  <c r="H4" i="14"/>
  <c r="H4" i="13"/>
  <c r="J27" i="12"/>
  <c r="G9" i="13"/>
  <c r="G9" i="15"/>
  <c r="G9" i="14"/>
  <c r="J14" i="15"/>
  <c r="I12" i="12"/>
  <c r="B15" i="12"/>
  <c r="H28" i="13"/>
  <c r="H20" i="13"/>
  <c r="H18" i="13"/>
  <c r="G25" i="14"/>
  <c r="G25" i="15"/>
  <c r="N24" i="15"/>
  <c r="Q24" i="15" s="1"/>
  <c r="E17" i="15"/>
  <c r="B10" i="15"/>
  <c r="H20" i="12"/>
  <c r="F24" i="15"/>
  <c r="K15" i="15"/>
  <c r="B4" i="12"/>
  <c r="E24" i="15"/>
  <c r="E12" i="15"/>
  <c r="H24" i="14"/>
  <c r="H20" i="14"/>
  <c r="H18" i="14"/>
  <c r="B22" i="13"/>
  <c r="N3" i="12"/>
  <c r="B3" i="15"/>
  <c r="K3" i="15"/>
  <c r="H3" i="12"/>
  <c r="G3" i="12"/>
  <c r="B3" i="14"/>
  <c r="H3" i="14"/>
  <c r="G3" i="14"/>
  <c r="I3" i="15"/>
  <c r="H3" i="15"/>
  <c r="G3" i="15"/>
  <c r="I3" i="13"/>
  <c r="M3" i="15"/>
  <c r="L3" i="15"/>
  <c r="B3" i="12"/>
  <c r="J3" i="15"/>
  <c r="F3" i="15"/>
  <c r="I3" i="14"/>
  <c r="D16" i="15"/>
  <c r="D16" i="14"/>
  <c r="D9" i="15"/>
  <c r="K9" i="15"/>
  <c r="E9" i="15"/>
  <c r="F9" i="15"/>
  <c r="D17" i="15"/>
  <c r="L9" i="15"/>
  <c r="M23" i="15"/>
  <c r="J23" i="14"/>
  <c r="M8" i="14"/>
  <c r="J6" i="15"/>
  <c r="L6" i="15"/>
  <c r="M6" i="15"/>
  <c r="M5" i="15"/>
  <c r="D5" i="14"/>
  <c r="M5" i="14"/>
  <c r="D5" i="15"/>
  <c r="L23" i="15"/>
  <c r="M16" i="15"/>
  <c r="F5" i="15"/>
  <c r="D23" i="15"/>
  <c r="L16" i="15"/>
  <c r="E5" i="15"/>
  <c r="E26" i="15"/>
  <c r="N26" i="15"/>
  <c r="Q26" i="15" s="1"/>
  <c r="F26" i="15"/>
  <c r="K26" i="15"/>
  <c r="D15" i="15"/>
  <c r="E15" i="15"/>
  <c r="D4" i="15"/>
  <c r="E4" i="15"/>
  <c r="N23" i="15"/>
  <c r="Q23" i="15" s="1"/>
  <c r="K16" i="15"/>
  <c r="J15" i="15"/>
  <c r="J9" i="15"/>
  <c r="K6" i="15"/>
  <c r="L5" i="15"/>
  <c r="M4" i="15"/>
  <c r="E8" i="15"/>
  <c r="J8" i="15"/>
  <c r="L8" i="15"/>
  <c r="F8" i="15"/>
  <c r="K8" i="15"/>
  <c r="M17" i="15"/>
  <c r="K17" i="15"/>
  <c r="J16" i="15"/>
  <c r="M8" i="15"/>
  <c r="F19" i="15"/>
  <c r="K19" i="15"/>
  <c r="J19" i="14"/>
  <c r="J19" i="15"/>
  <c r="L19" i="15"/>
  <c r="E23" i="15"/>
  <c r="F16" i="15"/>
  <c r="E6" i="15"/>
  <c r="J8" i="14"/>
  <c r="K23" i="15"/>
  <c r="E16" i="15"/>
  <c r="D6" i="15"/>
  <c r="J16" i="14"/>
  <c r="M11" i="15"/>
  <c r="M11" i="14"/>
  <c r="D11" i="15"/>
  <c r="D9" i="14"/>
  <c r="E6" i="14"/>
  <c r="J5" i="14"/>
  <c r="J26" i="15"/>
  <c r="F17" i="15"/>
  <c r="M15" i="15"/>
  <c r="F15" i="15"/>
  <c r="D8" i="15"/>
  <c r="K5" i="15"/>
  <c r="L4" i="15"/>
  <c r="D28" i="15"/>
  <c r="N27" i="15"/>
  <c r="Q27" i="15" s="1"/>
  <c r="E27" i="15"/>
  <c r="L25" i="15"/>
  <c r="J25" i="15"/>
  <c r="M24" i="15"/>
  <c r="D22" i="15"/>
  <c r="E21" i="15"/>
  <c r="K20" i="15"/>
  <c r="F20" i="15"/>
  <c r="M18" i="15"/>
  <c r="K14" i="15"/>
  <c r="F14" i="15"/>
  <c r="L13" i="15"/>
  <c r="J13" i="15"/>
  <c r="M12" i="15"/>
  <c r="D10" i="15"/>
  <c r="L7" i="15"/>
  <c r="J7" i="15"/>
  <c r="E3" i="15"/>
  <c r="J20" i="14"/>
  <c r="K25" i="15"/>
  <c r="L24" i="15"/>
  <c r="D21" i="15"/>
  <c r="L18" i="15"/>
  <c r="E14" i="15"/>
  <c r="K13" i="15"/>
  <c r="L12" i="15"/>
  <c r="J12" i="15"/>
  <c r="K7" i="15"/>
  <c r="F3" i="14"/>
  <c r="J3" i="14"/>
  <c r="M3" i="14"/>
  <c r="E3" i="14"/>
  <c r="F7" i="14"/>
  <c r="E7" i="14"/>
  <c r="M7" i="14"/>
  <c r="D7" i="14"/>
  <c r="J7" i="14"/>
  <c r="J27" i="14"/>
  <c r="D27" i="14"/>
  <c r="E27" i="14"/>
  <c r="N27" i="14"/>
  <c r="Q27" i="14" s="1"/>
  <c r="F27" i="14"/>
  <c r="D3" i="14"/>
  <c r="M27" i="14"/>
  <c r="F22" i="14"/>
  <c r="E22" i="14"/>
  <c r="D22" i="14"/>
  <c r="M22" i="14"/>
  <c r="J22" i="14"/>
  <c r="F4" i="14"/>
  <c r="E4" i="14"/>
  <c r="D4" i="14"/>
  <c r="J4" i="14"/>
  <c r="F15" i="14"/>
  <c r="J15" i="14"/>
  <c r="M15" i="14"/>
  <c r="D15" i="14"/>
  <c r="F10" i="14"/>
  <c r="E10" i="14"/>
  <c r="M10" i="14"/>
  <c r="D10" i="14"/>
  <c r="J26" i="14"/>
  <c r="E26" i="14"/>
  <c r="N26" i="14"/>
  <c r="Q26" i="14" s="1"/>
  <c r="M26" i="14"/>
  <c r="D26" i="14"/>
  <c r="F26" i="14"/>
  <c r="F19" i="14"/>
  <c r="E19" i="14"/>
  <c r="D19" i="14"/>
  <c r="M19" i="14"/>
  <c r="J10" i="14"/>
  <c r="E15" i="14"/>
  <c r="F17" i="14"/>
  <c r="J17" i="14"/>
  <c r="F11" i="14"/>
  <c r="D11" i="14"/>
  <c r="F18" i="14"/>
  <c r="J18" i="14"/>
  <c r="M18" i="14"/>
  <c r="E17" i="14"/>
  <c r="F8" i="14"/>
  <c r="D8" i="14"/>
  <c r="E8" i="14"/>
  <c r="F21" i="14"/>
  <c r="J21" i="14"/>
  <c r="M21" i="14"/>
  <c r="M17" i="14"/>
  <c r="D17" i="14"/>
  <c r="F14" i="14"/>
  <c r="F12" i="14"/>
  <c r="J12" i="14"/>
  <c r="M12" i="14"/>
  <c r="D12" i="14"/>
  <c r="E12" i="14"/>
  <c r="E11" i="14"/>
  <c r="J25" i="14"/>
  <c r="F23" i="14"/>
  <c r="F16" i="14"/>
  <c r="E16" i="14"/>
  <c r="F9" i="14"/>
  <c r="J9" i="14"/>
  <c r="M9" i="14"/>
  <c r="F5" i="14"/>
  <c r="F24" i="14"/>
  <c r="J24" i="14"/>
  <c r="E23" i="14"/>
  <c r="F20" i="14"/>
  <c r="M16" i="14"/>
  <c r="F13" i="14"/>
  <c r="E13" i="14"/>
  <c r="E9" i="14"/>
  <c r="F6" i="14"/>
  <c r="J6" i="14"/>
  <c r="M6" i="14"/>
  <c r="E5" i="14"/>
  <c r="AD2" i="7"/>
  <c r="D2" i="13" s="1"/>
  <c r="AF2" i="7"/>
  <c r="AG2" i="7"/>
  <c r="AI2" i="7"/>
  <c r="AK2" i="7"/>
  <c r="AM2" i="7"/>
  <c r="K2" i="13" s="1"/>
  <c r="X2" i="7"/>
  <c r="K2" i="12" s="1"/>
  <c r="Q2" i="7"/>
  <c r="R2" i="7"/>
  <c r="S2" i="7"/>
  <c r="M2" i="7"/>
  <c r="N2" i="7"/>
  <c r="F2" i="12" s="1"/>
  <c r="O2" i="7"/>
  <c r="P2" i="7" s="1"/>
  <c r="C2" i="7"/>
  <c r="D2" i="7"/>
  <c r="F2" i="7"/>
  <c r="G2" i="7"/>
  <c r="AS2" i="7" s="1"/>
  <c r="H2" i="7"/>
  <c r="I2" i="7"/>
  <c r="A2" i="7"/>
  <c r="D2" i="6"/>
  <c r="C2" i="6"/>
  <c r="I2" i="6"/>
  <c r="H2" i="6"/>
  <c r="G2" i="6"/>
  <c r="F2" i="6"/>
  <c r="I2" i="5"/>
  <c r="D2" i="5"/>
  <c r="C2" i="5"/>
  <c r="H2" i="5"/>
  <c r="G2" i="5"/>
  <c r="F2" i="5"/>
  <c r="D2" i="4"/>
  <c r="C2" i="4"/>
  <c r="I2" i="4"/>
  <c r="H2" i="4"/>
  <c r="G2" i="4"/>
  <c r="F2" i="4"/>
  <c r="K2" i="4" s="1"/>
  <c r="F2" i="3"/>
  <c r="E2" i="3"/>
  <c r="M2" i="3" s="1"/>
  <c r="H2" i="3"/>
  <c r="G2" i="3"/>
  <c r="J2" i="3"/>
  <c r="C2" i="3"/>
  <c r="D2" i="3"/>
  <c r="BK2" i="7" l="1"/>
  <c r="J2" i="15" s="1"/>
  <c r="BH2" i="7"/>
  <c r="D2" i="15" s="1"/>
  <c r="F2" i="13"/>
  <c r="N28" i="13"/>
  <c r="Q28" i="13" s="1"/>
  <c r="N21" i="15"/>
  <c r="Q21" i="15" s="1"/>
  <c r="N21" i="14"/>
  <c r="Q21" i="14" s="1"/>
  <c r="N23" i="14"/>
  <c r="Q23" i="14" s="1"/>
  <c r="N20" i="15"/>
  <c r="Q20" i="15" s="1"/>
  <c r="N22" i="14"/>
  <c r="Q22" i="14" s="1"/>
  <c r="N17" i="15"/>
  <c r="Q17" i="15" s="1"/>
  <c r="N19" i="15"/>
  <c r="Q19" i="15" s="1"/>
  <c r="N15" i="15"/>
  <c r="Q15" i="15" s="1"/>
  <c r="N16" i="15"/>
  <c r="Q16" i="15" s="1"/>
  <c r="N12" i="15"/>
  <c r="Q12" i="15" s="1"/>
  <c r="N13" i="15"/>
  <c r="Q13" i="15" s="1"/>
  <c r="N20" i="14"/>
  <c r="Q20" i="14" s="1"/>
  <c r="N15" i="14"/>
  <c r="Q15" i="14" s="1"/>
  <c r="N3" i="14"/>
  <c r="Q3" i="14" s="1"/>
  <c r="N18" i="13"/>
  <c r="Q18" i="13" s="1"/>
  <c r="N21" i="13"/>
  <c r="Q21" i="13" s="1"/>
  <c r="N23" i="13"/>
  <c r="Q23" i="13" s="1"/>
  <c r="N20" i="13"/>
  <c r="Q20" i="13" s="1"/>
  <c r="N5" i="13"/>
  <c r="Q5" i="13" s="1"/>
  <c r="N22" i="13"/>
  <c r="Q22" i="13" s="1"/>
  <c r="N24" i="13"/>
  <c r="Q24" i="13" s="1"/>
  <c r="N15" i="13"/>
  <c r="Q15" i="13" s="1"/>
  <c r="N19" i="13"/>
  <c r="Q19" i="13" s="1"/>
  <c r="N16" i="13"/>
  <c r="Q16" i="13" s="1"/>
  <c r="N5" i="14"/>
  <c r="Q5" i="14" s="1"/>
  <c r="N3" i="13"/>
  <c r="Q3" i="13" s="1"/>
  <c r="N4" i="14"/>
  <c r="Q4" i="14" s="1"/>
  <c r="N26" i="13"/>
  <c r="Q26" i="13" s="1"/>
  <c r="N4" i="13"/>
  <c r="Q4" i="13" s="1"/>
  <c r="N27" i="13"/>
  <c r="Q27" i="13" s="1"/>
  <c r="N8" i="15"/>
  <c r="Q8" i="15" s="1"/>
  <c r="N10" i="15"/>
  <c r="Q10" i="15" s="1"/>
  <c r="N14" i="15"/>
  <c r="Q14" i="15" s="1"/>
  <c r="N14" i="13"/>
  <c r="Q14" i="13" s="1"/>
  <c r="N11" i="13"/>
  <c r="Q11" i="13" s="1"/>
  <c r="N10" i="14"/>
  <c r="Q10" i="14" s="1"/>
  <c r="N13" i="13"/>
  <c r="Q13" i="13" s="1"/>
  <c r="N6" i="14"/>
  <c r="Q6" i="14" s="1"/>
  <c r="N9" i="14"/>
  <c r="Q9" i="14" s="1"/>
  <c r="N7" i="13"/>
  <c r="Q7" i="13" s="1"/>
  <c r="N8" i="14"/>
  <c r="Q8" i="14" s="1"/>
  <c r="N14" i="14"/>
  <c r="Q14" i="14" s="1"/>
  <c r="N12" i="13"/>
  <c r="Q12" i="13" s="1"/>
  <c r="N6" i="13"/>
  <c r="Q6" i="13" s="1"/>
  <c r="N13" i="14"/>
  <c r="Q13" i="14" s="1"/>
  <c r="N12" i="14"/>
  <c r="Q12" i="14" s="1"/>
  <c r="N9" i="13"/>
  <c r="Q9" i="13" s="1"/>
  <c r="N7" i="14"/>
  <c r="Q7" i="14" s="1"/>
  <c r="N11" i="14"/>
  <c r="Q11" i="14" s="1"/>
  <c r="N10" i="13"/>
  <c r="Q10" i="13" s="1"/>
  <c r="N8" i="13"/>
  <c r="Q8" i="13" s="1"/>
  <c r="N5" i="15"/>
  <c r="Q5" i="15" s="1"/>
  <c r="N3" i="15"/>
  <c r="Q3" i="15" s="1"/>
  <c r="O17" i="12"/>
  <c r="O11" i="12"/>
  <c r="Q22" i="12"/>
  <c r="Q15" i="12"/>
  <c r="O23" i="12"/>
  <c r="Q25" i="12"/>
  <c r="Q14" i="12"/>
  <c r="Q16" i="12"/>
  <c r="Q20" i="12"/>
  <c r="N17" i="13"/>
  <c r="Q17" i="13" s="1"/>
  <c r="N25" i="13"/>
  <c r="Q25" i="13" s="1"/>
  <c r="Q21" i="12"/>
  <c r="Q28" i="12"/>
  <c r="U2" i="7"/>
  <c r="O2" i="12" s="1"/>
  <c r="L2" i="3"/>
  <c r="V2" i="7" s="1"/>
  <c r="P2" i="12" s="1"/>
  <c r="N9" i="15"/>
  <c r="Q9" i="15" s="1"/>
  <c r="N7" i="15"/>
  <c r="Q7" i="15" s="1"/>
  <c r="K19" i="14"/>
  <c r="K12" i="14"/>
  <c r="K17" i="14"/>
  <c r="K25" i="14"/>
  <c r="K8" i="14"/>
  <c r="K6" i="14"/>
  <c r="K18" i="14"/>
  <c r="K22" i="14"/>
  <c r="K14" i="14"/>
  <c r="K26" i="14"/>
  <c r="K15" i="14"/>
  <c r="K9" i="14"/>
  <c r="K27" i="14"/>
  <c r="K7" i="14"/>
  <c r="K20" i="14"/>
  <c r="K5" i="14"/>
  <c r="K13" i="14"/>
  <c r="K16" i="14"/>
  <c r="K10" i="14"/>
  <c r="K23" i="14"/>
  <c r="K21" i="14"/>
  <c r="K11" i="14"/>
  <c r="K4" i="14"/>
  <c r="H2" i="12"/>
  <c r="H2" i="13"/>
  <c r="H2" i="15"/>
  <c r="H2" i="14"/>
  <c r="I2" i="12"/>
  <c r="I2" i="15"/>
  <c r="I2" i="14"/>
  <c r="I2" i="13"/>
  <c r="K3" i="14"/>
  <c r="G2" i="12"/>
  <c r="G2" i="14"/>
  <c r="G2" i="15"/>
  <c r="G2" i="13"/>
  <c r="B2" i="14"/>
  <c r="B2" i="12"/>
  <c r="B2" i="15"/>
  <c r="B2" i="13"/>
  <c r="K2" i="3"/>
  <c r="J2" i="12"/>
  <c r="J2" i="5"/>
  <c r="K2" i="5" s="1"/>
  <c r="J2" i="6"/>
  <c r="BO2" i="7" s="1"/>
  <c r="BP2" i="7"/>
  <c r="K2" i="15" s="1"/>
  <c r="BJ2" i="7"/>
  <c r="F2" i="15" s="1"/>
  <c r="BI2" i="7"/>
  <c r="E2" i="15" s="1"/>
  <c r="BN2" i="7"/>
  <c r="BS2" i="7"/>
  <c r="R2" i="15" s="1"/>
  <c r="BM2" i="7"/>
  <c r="BR2" i="7"/>
  <c r="M2" i="15" s="1"/>
  <c r="BL2" i="7"/>
  <c r="BQ2" i="7"/>
  <c r="L2" i="15" s="1"/>
  <c r="AX2" i="7"/>
  <c r="AW2" i="7"/>
  <c r="J2" i="14" s="1"/>
  <c r="AZ2" i="7"/>
  <c r="BE2" i="7"/>
  <c r="R2" i="14" s="1"/>
  <c r="AV2" i="7"/>
  <c r="F2" i="14" s="1"/>
  <c r="AY2" i="7"/>
  <c r="BD2" i="7"/>
  <c r="M2" i="14" s="1"/>
  <c r="AU2" i="7"/>
  <c r="BC2" i="7"/>
  <c r="L2" i="14" s="1"/>
  <c r="D2" i="14"/>
  <c r="AT2" i="7"/>
  <c r="E2" i="14" s="1"/>
  <c r="BB2" i="7"/>
  <c r="J2" i="4"/>
  <c r="L2" i="4" s="1"/>
  <c r="M2" i="4" a="1"/>
  <c r="L2" i="5" a="1"/>
  <c r="N2" i="15" l="1"/>
  <c r="Q2" i="15" s="1"/>
  <c r="M2" i="4"/>
  <c r="AQ2" i="7" s="1"/>
  <c r="L2" i="5"/>
  <c r="BF2" i="7" s="1"/>
  <c r="Q19" i="12"/>
  <c r="Q23" i="12"/>
  <c r="Q13" i="12"/>
  <c r="Q12" i="12"/>
  <c r="Q24" i="12"/>
  <c r="Q17" i="12"/>
  <c r="Q18" i="12"/>
  <c r="Q11" i="12"/>
  <c r="N2" i="3"/>
  <c r="BA2" i="7"/>
  <c r="N2" i="14" s="1"/>
  <c r="Q2" i="14" s="1"/>
  <c r="Q27" i="12"/>
  <c r="Q26" i="12"/>
  <c r="Q3" i="12"/>
  <c r="Q10" i="12"/>
  <c r="K2" i="14"/>
  <c r="K2" i="6"/>
  <c r="AL2" i="7"/>
  <c r="N2" i="13" s="1"/>
  <c r="Q2" i="13" s="1"/>
  <c r="T2" i="7"/>
  <c r="N2" i="12" s="1"/>
  <c r="L2" i="6" a="1"/>
  <c r="O2" i="3" a="1"/>
  <c r="L2" i="6" l="1"/>
  <c r="BT2" i="7" s="1"/>
  <c r="O2" i="3"/>
  <c r="AB2" i="7" s="1"/>
  <c r="W2" i="7"/>
  <c r="Q2" i="1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<sst xmlns="http://schemas.openxmlformats.org/spreadsheetml/2006/main" count="1984" uniqueCount="504">
  <si>
    <t>Timestamp</t>
  </si>
  <si>
    <t>Email Address</t>
  </si>
  <si>
    <t>Date of Exam</t>
  </si>
  <si>
    <t>Degree</t>
  </si>
  <si>
    <t>Subject Type</t>
  </si>
  <si>
    <t>Subject Code</t>
  </si>
  <si>
    <t>Subject Name</t>
  </si>
  <si>
    <t>Department of Candidate</t>
  </si>
  <si>
    <t>Semester</t>
  </si>
  <si>
    <t>No. of Cands. Regd.</t>
  </si>
  <si>
    <t>Title of External Examiner</t>
  </si>
  <si>
    <t>Name of External Examiner</t>
  </si>
  <si>
    <t>Phone No. of External Examiner</t>
  </si>
  <si>
    <t>Department of External Examiner</t>
  </si>
  <si>
    <t>Designation of External Examiner</t>
  </si>
  <si>
    <t>College of External Examiner</t>
  </si>
  <si>
    <t>Account No. of External Examiner</t>
  </si>
  <si>
    <t>Bank Name of External Examiner</t>
  </si>
  <si>
    <t>IFSC Code of External Examiner</t>
  </si>
  <si>
    <t>Branch of External Examiner</t>
  </si>
  <si>
    <t>Title of Internal Examiner</t>
  </si>
  <si>
    <t>Name of Internal Examiner</t>
  </si>
  <si>
    <t>Phone No. of Internal Examiner</t>
  </si>
  <si>
    <t>Department of Internal Examiner</t>
  </si>
  <si>
    <t>Designation of Internal Examiner</t>
  </si>
  <si>
    <t>Account No. of Internal Examiner</t>
  </si>
  <si>
    <t>Bank Name of Internal Examiner</t>
  </si>
  <si>
    <t>IFSC Code of Internal Examiner</t>
  </si>
  <si>
    <t>Title of Skilled Asst.</t>
  </si>
  <si>
    <t>Name of Skilled Asst.</t>
  </si>
  <si>
    <t>Phone No. of Skilled Asst.</t>
  </si>
  <si>
    <t>Department of Skilled Asst.</t>
  </si>
  <si>
    <t>Designation of Skilled Asst.</t>
  </si>
  <si>
    <t>Account No. of Skilled Asst.</t>
  </si>
  <si>
    <t>IFSC Code of Skilled Asst.</t>
  </si>
  <si>
    <t>Branch of Skilled Asst.</t>
  </si>
  <si>
    <t>Title of Lab Technician</t>
  </si>
  <si>
    <t>Name of Lab Technician</t>
  </si>
  <si>
    <t>Phone No. of Lab Technician</t>
  </si>
  <si>
    <t>Department of Lab Technician</t>
  </si>
  <si>
    <t>Account No. of Lab Technician</t>
  </si>
  <si>
    <t>Bank Name of Lab Technician</t>
  </si>
  <si>
    <t>IFSC Code of Lab Technician</t>
  </si>
  <si>
    <t>Bank Branch of Lab Technician</t>
  </si>
  <si>
    <t>Sl.N</t>
  </si>
  <si>
    <t>COLLEGE</t>
  </si>
  <si>
    <t>DISTANCE</t>
  </si>
  <si>
    <t>KRCE</t>
  </si>
  <si>
    <t>Session</t>
  </si>
  <si>
    <t>Sl. No.</t>
  </si>
  <si>
    <t>L1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</si>
  <si>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</si>
  <si>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</si>
  <si>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</si>
  <si>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</si>
  <si>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</si>
  <si>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</si>
  <si>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</si>
  <si>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</si>
  <si>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</si>
  <si>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</si>
  <si>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</si>
  <si>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</si>
  <si>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</si>
  <si>
    <t>L17</t>
  </si>
  <si>
    <t>L18</t>
  </si>
  <si>
    <t>L19</t>
  </si>
  <si>
    <t>L20</t>
  </si>
  <si>
    <t>L21</t>
  </si>
  <si>
    <t>L22</t>
  </si>
  <si>
    <t>L23</t>
  </si>
  <si>
    <t>L24</t>
  </si>
  <si>
    <t>L25</t>
  </si>
  <si>
    <t>L26</t>
  </si>
  <si>
    <t>L27</t>
  </si>
  <si>
    <t>L28</t>
  </si>
  <si>
    <t>L29</t>
  </si>
  <si>
    <t>L30</t>
  </si>
  <si>
    <t>L2</t>
  </si>
  <si>
    <t>L3</t>
  </si>
  <si>
    <t>L31</t>
  </si>
  <si>
    <t>L32</t>
  </si>
  <si>
    <t>L33</t>
  </si>
  <si>
    <t>L34</t>
  </si>
  <si>
    <t>L35</t>
  </si>
  <si>
    <t>L36</t>
  </si>
  <si>
    <t>L37</t>
  </si>
  <si>
    <t>L38</t>
  </si>
  <si>
    <t>L39</t>
  </si>
  <si>
    <t>L40</t>
  </si>
  <si>
    <t>L41</t>
  </si>
  <si>
    <t>L42</t>
  </si>
  <si>
    <t>L43</t>
  </si>
  <si>
    <t>L44</t>
  </si>
  <si>
    <t>L45</t>
  </si>
  <si>
    <t>L46</t>
  </si>
  <si>
    <t>L47</t>
  </si>
  <si>
    <t>L48</t>
  </si>
  <si>
    <t>L49</t>
  </si>
  <si>
    <t>L50</t>
  </si>
  <si>
    <t>L51</t>
  </si>
  <si>
    <t>L52</t>
  </si>
  <si>
    <t>L53</t>
  </si>
  <si>
    <t>L54</t>
  </si>
  <si>
    <t>L55</t>
  </si>
  <si>
    <t>L56</t>
  </si>
  <si>
    <t>L57</t>
  </si>
  <si>
    <t>L58</t>
  </si>
  <si>
    <t>L59</t>
  </si>
  <si>
    <t>Sl.No.</t>
  </si>
  <si>
    <t>Name of Examiner</t>
  </si>
  <si>
    <t>Position held</t>
  </si>
  <si>
    <t>External Examiner</t>
  </si>
  <si>
    <t>Title</t>
  </si>
  <si>
    <t>Examined Count</t>
  </si>
  <si>
    <t>student Degree</t>
  </si>
  <si>
    <t>Claim Amount</t>
  </si>
  <si>
    <t>TA</t>
  </si>
  <si>
    <t>College</t>
  </si>
  <si>
    <t>Sessions attended</t>
  </si>
  <si>
    <t>DA</t>
  </si>
  <si>
    <t>TOTAL</t>
  </si>
  <si>
    <t>Internal Examiner</t>
  </si>
  <si>
    <t>Skilled Assist.</t>
  </si>
  <si>
    <t>Registered Count</t>
  </si>
  <si>
    <t>Lab Technician</t>
  </si>
  <si>
    <t>No. of Cands. Examined</t>
  </si>
  <si>
    <t>Distance
(Km)</t>
  </si>
  <si>
    <t>Branch of Internal Examiner</t>
  </si>
  <si>
    <t>ALAGAPPA CHETTIAR GOVT COLLEGE OF ENGINEERING &amp; TECH (9176)</t>
  </si>
  <si>
    <t>ANJALAI AMMAL MAHALINGAM ENGINEERING COLLEGE (8204)</t>
  </si>
  <si>
    <t>ANNAI MATHAMMAL SHEELA ENGINEERING COLLEGE (6202)</t>
  </si>
  <si>
    <t>ANNAPOORNA ENGINEERING COLLEGE (6102)</t>
  </si>
  <si>
    <t>ARASU ENGINEERING COLLEGE (8206)</t>
  </si>
  <si>
    <t>BANNARI AMMAN INSTITUTE OF TECHNOLOGY (7376)</t>
  </si>
  <si>
    <t>BULIDERS ENGINEERING COLLEGE (7303)</t>
  </si>
  <si>
    <t>CARE COLLEGE OF ENGINEERING (8107)</t>
  </si>
  <si>
    <t>COIMBATORE INSTITUTE OF TECHNOLOGY,COIMBATORE (7176)</t>
  </si>
  <si>
    <t>DHANALAKSHMI SRINIVASAN ENGINEERING COLLEGE (8104)</t>
  </si>
  <si>
    <t>EXCEL ENGINEERING COLLEGE (7309)</t>
  </si>
  <si>
    <t>GNANANMANI COLLEGE OF ENGINEERING (6207)</t>
  </si>
  <si>
    <t>GOVERNMENT COLLEGE OF ENGINEERING , SRIRANGAM (8301)</t>
  </si>
  <si>
    <t>GOVERNMENT COLLEGE OF ENGINEERING, ERODE (7311)</t>
  </si>
  <si>
    <t>HINDUSTHAN INSTITUTE OF TECHNOLOGY (7208)</t>
  </si>
  <si>
    <t>IMAYAM COLLEGE OF ENGINEERING (8110)</t>
  </si>
  <si>
    <t>JAYARAM COLLEGE OF ENGINEERING AND TECHNOLOGY (8114)</t>
  </si>
  <si>
    <t>JJ COLLEGE OF ENGINEERING AND TECHNOLOGY (8113)</t>
  </si>
  <si>
    <t>K. RAMAKRISHNAN COLLEGE OF ENGINEERING(8115)</t>
  </si>
  <si>
    <t>K. RAMAKRISHNAN COLLEGE OF TECHNOLOGY(8117)</t>
  </si>
  <si>
    <t>K.L.N COLLEGE OF ENGINEERING,MADURAI (9106)</t>
  </si>
  <si>
    <t>K.S.R COLLEGE OF ENGINEERING (7315)</t>
  </si>
  <si>
    <t>K.S.RANGASAMY COLLEGE OF TECHNOLOGY (7377)</t>
  </si>
  <si>
    <t>KAMARAJ COLLEGE OF ENGINNERING &amp; TECHNOLOGY (9204)</t>
  </si>
  <si>
    <t>KNOWLEDGE INSTITUTE OF TECHNOLOGY,SALEM (6112)</t>
  </si>
  <si>
    <t>KONGU ENGINEERING COLLEGE,PERUNDURAI (7378)</t>
  </si>
  <si>
    <t>KONGUNADU COLLEGE OF ENGINEERING &amp; TECHNOLOGY,THOTTIYAM (6213)</t>
  </si>
  <si>
    <t>KPR INSTITUTE OF ENGINEERING &amp; TECHNOLOGY (7113)</t>
  </si>
  <si>
    <t>KSR INSTITUTE FOR ENGINEERING AND TECHNOLOGY (7316)</t>
  </si>
  <si>
    <t>KURINJI COLLEGE OF ENGINEERING AND TECHNOLOGY (8118)</t>
  </si>
  <si>
    <t>M KUMARASAMY COLLEGE OF ENGINEERING (9207)</t>
  </si>
  <si>
    <t>MAHENDRA ENGINEERING COLLEGE (6113)</t>
  </si>
  <si>
    <t>MAHENDRA INSTITUTE OF TECHNOLOGY (6116)</t>
  </si>
  <si>
    <t>MAM BUSINESS SCHOOL (8122)</t>
  </si>
  <si>
    <t>MAM COLLEGE OF ENGINEERING (8120)</t>
  </si>
  <si>
    <t>MAM COLLEGE OF ENGINEERING AND TECHNOLOGY (8120)</t>
  </si>
  <si>
    <t>MAM SCHOOL OF ENGINEERING (8121)</t>
  </si>
  <si>
    <t>MEPCO SCHLENK ENGINEERING COLLEGE,SIVAKASI (9517)</t>
  </si>
  <si>
    <t>MIET ENGINEERING COLLEGE (8124)</t>
  </si>
  <si>
    <t>MOOKAMBIGAI COLLEGE OF ENGINEERING (8128)</t>
  </si>
  <si>
    <t>MUTHAYAMMAL ENGINEERING COLLEGE (6216)</t>
  </si>
  <si>
    <t>NANDHA ENGINEERING COLLEGE, ERODE (7322)</t>
  </si>
  <si>
    <t>OASYS INSTITUTE OF TECHNOLOGY (8129)</t>
  </si>
  <si>
    <t>OXFORD ENGINEERING COLLEGE (8130)</t>
  </si>
  <si>
    <t>PAAVAI ENGINEERING COLLEGE (6221)</t>
  </si>
  <si>
    <t>PARISUTHAM INSTITUTE OF TECHNOLOGY AND SCIENCE (8213)</t>
  </si>
  <si>
    <t>PAVENDAR BHARATHIDASAN COLLEGE OF ENGINEERING AND TECHNOLOGY (8131)</t>
  </si>
  <si>
    <t>PR ENGINEERING COLLEGE, THANJAVUR ()</t>
  </si>
  <si>
    <t>PRIST UNIVERSITY, TRICHIRAPPALLI CAMPUS (PS)</t>
  </si>
  <si>
    <t>PSG COLLEGE OF TECHNOLOGY, COIMBATORE (7180)</t>
  </si>
  <si>
    <t>PSNA COLLEGE OF ENGINEERING &amp; TECHNOLOGY,DINDUGAL (9213)</t>
  </si>
  <si>
    <t>ROEVER ENGINEERING COLLEGE (8135)</t>
  </si>
  <si>
    <t>RVS EDUCTAIONAL TRUST GROUP OF INSTITUTIONS (9214)</t>
  </si>
  <si>
    <t>SARANATHAN COLLEGE OF ENGINEERING (8138)</t>
  </si>
  <si>
    <t>SASTRA DEEMED UNIVERSITY, THANJAVUR. (SD)</t>
  </si>
  <si>
    <t>SELVAM COLLEGE OF TECHNOLOGY (6225)</t>
  </si>
  <si>
    <t>SENGUNTHAR ENGINEERING COLLEGE (6123)</t>
  </si>
  <si>
    <t>SETHU INSTITUTE OF TECHNOLOGY,VIRTHUNAGAR (9217)</t>
  </si>
  <si>
    <t>SHIVANI ENGINEERING COLLEGE (8139)</t>
  </si>
  <si>
    <t>SONA COLLEGE OF TECHNOLOGY,SALEM (6178)</t>
  </si>
  <si>
    <t>SRI RAMAKRISHNA COLLEGE OF ENGINEERING (7277)</t>
  </si>
  <si>
    <t>SRI RAMAKRISHNA ENGINEERING COLLEGE,COIMBATORE (7181)</t>
  </si>
  <si>
    <t>SRM TRP ENGINEERING COLLEGE (8147)</t>
  </si>
  <si>
    <t>ST JOSEPH'S COLLEGE OF ENGINEERING AND TECHNOLOGY, THANJAVUR (8219)</t>
  </si>
  <si>
    <t>THIAGARAJAR COLLEGE OF ENGINEERING,MADURAI (9177)</t>
  </si>
  <si>
    <t>TRICHY ENGINEERING COLLEGE (8146)</t>
  </si>
  <si>
    <t>UGC - PATTUKOTTAI (3021)</t>
  </si>
  <si>
    <t>UNIVERSITY COLLEGE OF ENGINEERING - BIT CAMPUS TRICHY (8100)</t>
  </si>
  <si>
    <t>VELAMMAL COLLEGE OF ENGINEERING AND TECHNOLOGY (9131)</t>
  </si>
  <si>
    <t>VIVEKANANDHA COLLEGE OF ENGINEERING FOR WOMEN (6129)</t>
  </si>
  <si>
    <t>VIVEKANANDHA COLLEGE OF TECHNOLOGY FOR WOMEN (6130)</t>
  </si>
  <si>
    <t>ANNAMALAI UNIVERSITY, CHIDAMBARAM</t>
  </si>
  <si>
    <t>ERODE SENGUNTHAR ENGINEERING COLLEGE</t>
  </si>
  <si>
    <t>HOLY ANGELS SCHOOL OF BUSINESS</t>
  </si>
  <si>
    <t>L60</t>
  </si>
  <si>
    <t>L61</t>
  </si>
  <si>
    <t>L62</t>
  </si>
  <si>
    <t>L63</t>
  </si>
  <si>
    <t>L64</t>
  </si>
  <si>
    <t>L65</t>
  </si>
  <si>
    <t>L66</t>
  </si>
  <si>
    <t>L67</t>
  </si>
  <si>
    <t>L68</t>
  </si>
  <si>
    <t>L69</t>
  </si>
  <si>
    <t>L70</t>
  </si>
  <si>
    <t>L71</t>
  </si>
  <si>
    <t>L72</t>
  </si>
  <si>
    <t>L73</t>
  </si>
  <si>
    <t>L74</t>
  </si>
  <si>
    <t>L75</t>
  </si>
  <si>
    <t>L76</t>
  </si>
  <si>
    <t>L77</t>
  </si>
  <si>
    <t>L78</t>
  </si>
  <si>
    <t>L79</t>
  </si>
  <si>
    <t>L80</t>
  </si>
  <si>
    <t>L81</t>
  </si>
  <si>
    <t>L82</t>
  </si>
  <si>
    <t>L83</t>
  </si>
  <si>
    <t>L84</t>
  </si>
  <si>
    <t>L85</t>
  </si>
  <si>
    <t>L86</t>
  </si>
  <si>
    <t>L87</t>
  </si>
  <si>
    <t>L88</t>
  </si>
  <si>
    <t>L89</t>
  </si>
  <si>
    <t>L90</t>
  </si>
  <si>
    <t>L91</t>
  </si>
  <si>
    <t>L92</t>
  </si>
  <si>
    <t>L93</t>
  </si>
  <si>
    <t>L94</t>
  </si>
  <si>
    <t>L95</t>
  </si>
  <si>
    <t>L96</t>
  </si>
  <si>
    <t>L97</t>
  </si>
  <si>
    <t>L98</t>
  </si>
  <si>
    <t>L99</t>
  </si>
  <si>
    <t>L100</t>
  </si>
  <si>
    <t>L101</t>
  </si>
  <si>
    <t>L102</t>
  </si>
  <si>
    <t>L103</t>
  </si>
  <si>
    <t>L104</t>
  </si>
  <si>
    <t>L105</t>
  </si>
  <si>
    <t>L106</t>
  </si>
  <si>
    <t>L107</t>
  </si>
  <si>
    <t>L108</t>
  </si>
  <si>
    <t>L109</t>
  </si>
  <si>
    <t>L110</t>
  </si>
  <si>
    <t>L111</t>
  </si>
  <si>
    <t>L112</t>
  </si>
  <si>
    <t>L113</t>
  </si>
  <si>
    <t>L114</t>
  </si>
  <si>
    <t>L115</t>
  </si>
  <si>
    <t>L116</t>
  </si>
  <si>
    <t>L117</t>
  </si>
  <si>
    <t>L118</t>
  </si>
  <si>
    <t>L119</t>
  </si>
  <si>
    <t>L120</t>
  </si>
  <si>
    <t>L121</t>
  </si>
  <si>
    <t>L122</t>
  </si>
  <si>
    <t>L123</t>
  </si>
  <si>
    <t>L124</t>
  </si>
  <si>
    <t>L125</t>
  </si>
  <si>
    <t>L126</t>
  </si>
  <si>
    <t>L127</t>
  </si>
  <si>
    <t>L128</t>
  </si>
  <si>
    <t>L129</t>
  </si>
  <si>
    <t>L130</t>
  </si>
  <si>
    <t>L131</t>
  </si>
  <si>
    <t>L132</t>
  </si>
  <si>
    <t>L133</t>
  </si>
  <si>
    <t>L134</t>
  </si>
  <si>
    <t>L135</t>
  </si>
  <si>
    <t>L136</t>
  </si>
  <si>
    <t>L137</t>
  </si>
  <si>
    <t>L138</t>
  </si>
  <si>
    <t>L139</t>
  </si>
  <si>
    <t>L140</t>
  </si>
  <si>
    <t>L141</t>
  </si>
  <si>
    <t>L142</t>
  </si>
  <si>
    <t>L143</t>
  </si>
  <si>
    <t>L144</t>
  </si>
  <si>
    <t>L145</t>
  </si>
  <si>
    <t>L146</t>
  </si>
  <si>
    <t>L147</t>
  </si>
  <si>
    <t>L148</t>
  </si>
  <si>
    <t>L149</t>
  </si>
  <si>
    <t>L150</t>
  </si>
  <si>
    <t>L151</t>
  </si>
  <si>
    <t>L152</t>
  </si>
  <si>
    <t>L153</t>
  </si>
  <si>
    <t>L154</t>
  </si>
  <si>
    <t>L155</t>
  </si>
  <si>
    <t>L156</t>
  </si>
  <si>
    <t>L157</t>
  </si>
  <si>
    <r>
      <rPr>
        <b/>
        <sz val="24"/>
        <color rgb="FF000000"/>
        <rFont val="Times New Roman"/>
        <family val="1"/>
      </rPr>
      <t>Office of the Controller of Examinations</t>
    </r>
    <r>
      <rPr>
        <sz val="16"/>
        <color rgb="FF000000"/>
        <rFont val="Times New Roman"/>
        <family val="1"/>
      </rPr>
      <t xml:space="preserve">
K.Ramakrishnan College of Engineering
(AUTONOMOUS)</t>
    </r>
  </si>
  <si>
    <t>S.NO</t>
  </si>
  <si>
    <t>EXAM DATE</t>
  </si>
  <si>
    <t>POSSITION</t>
  </si>
  <si>
    <t xml:space="preserve">NAME OF THE EXAMINER </t>
  </si>
  <si>
    <t>SUBJECT CODE</t>
  </si>
  <si>
    <t>COLLEGE CODE &amp; NAME</t>
  </si>
  <si>
    <t>ACCOUNT NO.</t>
  </si>
  <si>
    <t>BANK NAME</t>
  </si>
  <si>
    <t>IFSC CODE</t>
  </si>
  <si>
    <t>REMUNERATION</t>
  </si>
  <si>
    <t>TOTAL AMOUNT</t>
  </si>
  <si>
    <t>GRAND TOTAL</t>
  </si>
  <si>
    <t>DEPUTY COE</t>
  </si>
  <si>
    <t xml:space="preserve"> </t>
  </si>
  <si>
    <t>CoE</t>
  </si>
  <si>
    <t>PRINCIPAL</t>
  </si>
  <si>
    <t>DEPARTMENT</t>
  </si>
  <si>
    <t>NO OF CAND. REG.</t>
  </si>
  <si>
    <t>NO OF CAND. EXAMINED</t>
  </si>
  <si>
    <t>{"hash":"ace796cc9d3d74f246f49f5253f08c828be188b1b0fe40ac9a373b5071944583","version":1,"value":"[[\"=TEXT(A1,\\\"[$₹-hi-IN] * #,##0.00\\\") &amp; \\\" \\\" &amp; UPPER(TEXT(A1,\\\"[$₹-hi-IN] * #,##0.00\\\"))\"]]"}</t>
  </si>
  <si>
    <t>{"hash":"d341b7bec0264920169015b9537355c3ba14f8938149ee9424dc59ca68b247e6","version":1,"value":"[[\"=LET(num,A1,ones,{\\\"\\\",\\\"One\\\",\\\"Two\\\",\\\"Three\\\",\\\"Four\\\",\\\"Five\\\",\\\"Six\\\",\\\"Seven\\\",\\\"Eight\\\",\\\"Nine\\\"},teens,{\\\"Ten\\\",\\\"Eleven\\\",\\\"Twelve\\\",\\\"Thirteen\\\",\\\"Fourteen\\\",\\\"Fifteen\\\",\\\"Sixteen\\\",\\\"Seventeen\\\",\\\"Eighteen\\\",\\\"Nineteen\\\"},tens,{\\\"\\\",\\\"\\\",\\\"Twenty\\\",\\\"Thirty\\\",\\\"Forty\\\",\\\"Fifty\\\",\\\"Sixty\\\",\\\"Seventy\\\",\\\"Eighty\\\",\\\"Ninety\\\"},thousands,{\\\"\\\",\\\"Thousand\\\",\\\"Million\\\",\\\"Billion\\\"},numToWords,LAMBDA(n,IF(n=0,\\\"Zero\\\",TEXTJOIN(\\\" \\\",TRUE,IF(INT(n/1000^3)&gt;0,numToWords(INT(n/1000^3))&amp;\\\" Billion\\\",\\\"\\\"),IF(MOD(INT(n/1000^2),1000)&gt;0,numToWords(MOD(INT(n/1000^2),1000))&amp;\\\" Million\\\",\\\"\\\"),IF(MOD(INT(n/1000),1000)&gt;0,numToWords(MOD(INT(n/1000),1000))&amp;\\\" Thousand\\\",\\\"\\\"),IF(MOD(n,1000)&gt;0,IF(INT(MOD(n,1000)/100)&gt;0,INDEX(ones,INT(MOD(n,1000)/100)+1)&amp;\\\" Hundred\\\",\\\"\\\")&amp;IF(MOD(n,100)&gt;0,\\\" \\\"&amp;IF(MOD(n,100)&lt;10,INDEX(ones,MOD(n,10)+1),IF(MOD(n,100)&lt;20,INDEX(teens,MOD(n,10)+1),INDEX(tens,INT(MOD(n,100)/10)+1)&amp;IF(MOD(n,10)&gt;0,\\\" \\\"&amp;INDEX(ones,MOD(n,10)+1),\\\"\\\"))),\\\"\\\")),\\\"\\\"))),numToWords(num))\"]]"}</t>
  </si>
  <si>
    <t>Amount in words Ext. Examiner</t>
  </si>
  <si>
    <t>Amount in words
Int. Examiner</t>
  </si>
  <si>
    <t>Amount in words
Skil. Assist</t>
  </si>
  <si>
    <t>{"hash":"968708d26f1e93df74e382dcf0fe31fd96cebfb4ea744710bdc27662ad1fdc25","version":1,"value":"[[\"=TEXT(A1,\\\"[$-409]0\\\")\"]]"}</t>
  </si>
  <si>
    <t>{"hash":"008ff9623e66c1afa54dab04b4e8aaf951d421aa5e6c7cb165494f98c38c3bcd","version":1,"value":"[[\"=TEXT(A1,\\\"[$-409]dddd\\\")\"]]"}</t>
  </si>
  <si>
    <t>{"hash":"00e3fe6b394ada06688637708d1f00998ed328e1f14b8b1c04560832362f8c84","version":1,"value":"[[\"=TEXT(A1,\\\"[$-409]dddd\\\")\"]]"}</t>
  </si>
  <si>
    <t>{"hash":"1f5daa2afb60043a9540974551d2b785681084ab73a3a4ee9512d59beb5df95b","version":1,"value":"[[\"The formula converts a number in cell A1 into its English words representation, handling numbers from 0 to billions.\"]]"}</t>
  </si>
  <si>
    <t>Amount in words
Lab Tech.</t>
  </si>
  <si>
    <t>College of Internal Examiner</t>
  </si>
  <si>
    <t>College of Skilled Asst.</t>
  </si>
  <si>
    <t xml:space="preserve">College of Lab Technician </t>
  </si>
  <si>
    <t>SRI KRISHNA COLLEGE OF ENGINEERING AND TECHNOLOGY (7277)</t>
  </si>
  <si>
    <t>No. of sessions</t>
  </si>
  <si>
    <t>Bank Account No. (External Examiner)</t>
  </si>
  <si>
    <t>Bank Name (External Examiner)</t>
  </si>
  <si>
    <t>IFSC Code (External Examiner)</t>
  </si>
  <si>
    <t>Bank Branch (External Examiner)</t>
  </si>
  <si>
    <t>Bank Account No. (Internal Examiner)</t>
  </si>
  <si>
    <t>Bank Name (Internal Examiner)</t>
  </si>
  <si>
    <t>IFSC Code (Internal Examiner)</t>
  </si>
  <si>
    <t>Bank Branch (Internal Examiner)</t>
  </si>
  <si>
    <t>Name of Skilled Asst.(Initial at End)</t>
  </si>
  <si>
    <t>Bank Account No. (Skilled Asst.)</t>
  </si>
  <si>
    <t>Bank Name (Skilled Asst.)</t>
  </si>
  <si>
    <t>IFSC Code (Skilled Asst.)</t>
  </si>
  <si>
    <t>Bank Branch (Skilled Asst.)</t>
  </si>
  <si>
    <t>Name of Lab Technician (Initial at End)</t>
  </si>
  <si>
    <t>Bank Account No. (Lab Technician)</t>
  </si>
  <si>
    <t>Bank Name (Lab Technician)</t>
  </si>
  <si>
    <t>IFSC Code of (Lab Technician)</t>
  </si>
  <si>
    <t>Bank Branch (Lab Technician)</t>
  </si>
  <si>
    <t>Practical - UG</t>
  </si>
  <si>
    <t>Practical - PG</t>
  </si>
  <si>
    <t>TCPL</t>
  </si>
  <si>
    <t>TCPR</t>
  </si>
  <si>
    <t>Project / Mini Project / PRBL</t>
  </si>
  <si>
    <t>Project - PG</t>
  </si>
  <si>
    <t>Project - PG MBA</t>
  </si>
  <si>
    <t>S. No.</t>
  </si>
  <si>
    <t>Both FN and AN</t>
  </si>
  <si>
    <t>Only FN</t>
  </si>
  <si>
    <t>Only AN</t>
  </si>
  <si>
    <t>Ext. Examiner type</t>
  </si>
  <si>
    <t>Claim Amount per student (Rs.)</t>
  </si>
  <si>
    <t>Min. Amount
(Rs.)</t>
  </si>
  <si>
    <t>Skilled Assist</t>
  </si>
  <si>
    <t>Technician</t>
  </si>
  <si>
    <t>Column Index  -----&gt;</t>
  </si>
  <si>
    <t>Amount in words</t>
  </si>
  <si>
    <t>Total amount</t>
  </si>
  <si>
    <t>Bank Name of Skilled Asst.</t>
  </si>
  <si>
    <t xml:space="preserve">END SEMESTER PRACTICAL LAB </t>
  </si>
  <si>
    <t>GNANAMANI COLLEGE OF TECHNOLOGY (6208)</t>
  </si>
  <si>
    <t>APRIL / MAY - 2026</t>
  </si>
  <si>
    <t>VELALAR COLLEGE OF ENGINEERING AND TECHNOLOGY (7329)</t>
  </si>
  <si>
    <t>GOVERNMENT COLLEGE OF ENGINEERING (GCE), BODINAYAKKANUR (9233)</t>
  </si>
  <si>
    <t>SURYA COLLEGE OF ENGINEERING, TRICHY (8155)</t>
  </si>
  <si>
    <t>PSR ENGINEERING COLLEGE (9519)</t>
  </si>
  <si>
    <t>INLINGUA INSTITUTE</t>
  </si>
  <si>
    <t>KARPPAGAM COLLEGE OF ENGINEERING(2710)</t>
  </si>
  <si>
    <t>GOVERNMENT COLLEGE OF ENGINEERING , BARGUR(6107)</t>
  </si>
  <si>
    <t>KALASALINGAM ACADEMY OF RESEARCH AND EDUCATION (DEEMED UNIVERSITY)</t>
  </si>
  <si>
    <t>KIT-KALAIGNARKARUNANIDHI INSTITUTE OF TECHNOLOGY, COIMBATORE(7115)</t>
  </si>
  <si>
    <t>KUMARAGURU COLLEGE OF TECHNOLOGY, COIMBATORE(7179)</t>
  </si>
  <si>
    <t>MANGAYARKARASI COLLEGE OF ENGINEERING, MADURAI (9238)</t>
  </si>
  <si>
    <t>SNS - COIMBATORE</t>
  </si>
  <si>
    <t>SRI SHANMUGHA COLLEGE OF ENGINEERING AND TECHNOLOGY, SALEM(7327)</t>
  </si>
  <si>
    <t>SRM MADURAI</t>
  </si>
  <si>
    <t>SYED AMMAL ENGINEERING COLLEGE (9128)</t>
  </si>
  <si>
    <t>EXAMINER NAME</t>
  </si>
  <si>
    <t>AMOUNT</t>
  </si>
  <si>
    <t xml:space="preserve">BRANCH </t>
  </si>
  <si>
    <t xml:space="preserve">ACCOUNT NUMBER </t>
  </si>
  <si>
    <t>BRANCH</t>
  </si>
  <si>
    <t>CoE                                                                                                                                                               PRINCIPAL</t>
  </si>
  <si>
    <t>ANNA UNIVERSITY,MADURAI ()</t>
  </si>
  <si>
    <t>DHANALAKSHMI SRINIVASAN INTSTITUE OF TECHNOLOGY/ DS UNIVERSITY (DS)</t>
  </si>
  <si>
    <t>DR. MAHALINGAM COLLEGE OF ENGINEERING AND TECHNOLOGY (2706)</t>
  </si>
  <si>
    <t>DR.NAVALAR NEDUNCHEZHIYAN COLLEGE OF ENGINEERING (8106)</t>
  </si>
  <si>
    <t>GOVERNMENT COLLEGE OF ENGINEERING, THANJAVUR</t>
  </si>
  <si>
    <t>IFET COLLEGE OF ENGINEERING (AUTONOMOUS INSTITUTION)</t>
  </si>
  <si>
    <t>INDRA GANESAN COLLEGE OF ENGINEERING, MANIKANDAM</t>
  </si>
  <si>
    <t>INLINGUA CHENNAI IN GUINDY,CHENNAI ()</t>
  </si>
  <si>
    <t>KANGEYAM INSTITUTE OF TECHNOLOGY, NATHAKADAIYUR, TAMIL NADU, INDIA</t>
  </si>
  <si>
    <t>M.KUMARASAMY COLLEGE OF ENGINEERING,KARUR (9207)</t>
  </si>
  <si>
    <t>NIFTEM- TANJORE ()</t>
  </si>
  <si>
    <t>NIT,TRICHY ()</t>
  </si>
  <si>
    <t>OAA-MAVMM SCHOOL OF MANAGEMENT</t>
  </si>
  <si>
    <t>SBM COLLEGE OF ENGINEERING AND TECHNOLOGY, DINDIGUL</t>
  </si>
  <si>
    <t>SSM INSTITUTE OF ENGINEERING AND TECHNOLOGY, ()</t>
  </si>
  <si>
    <t>THANTHAI PERIYAR GOVERNMENT INSTITUTE OF TECHNOLOGY, VELLORE</t>
  </si>
  <si>
    <t>VEERAMMAL ENGINEERING COLLEGE,DINDUGAL</t>
  </si>
  <si>
    <t>VIT,VELLORE ()</t>
  </si>
  <si>
    <t>KINGS COLLEGE OF ENGINEERING,THANJAVUR (8211)</t>
  </si>
  <si>
    <t>Dy.CoE                                                                                    CoE                                                                           PRINCIPAL</t>
  </si>
  <si>
    <t>GCE SALEM</t>
  </si>
  <si>
    <t>Mr.</t>
  </si>
  <si>
    <t>UTIB0001367</t>
  </si>
  <si>
    <t>MANACHANALLUR</t>
  </si>
  <si>
    <t>HDFC0000058</t>
  </si>
  <si>
    <t>THILLAI NAGAR</t>
  </si>
  <si>
    <t>UTIB0000137</t>
  </si>
  <si>
    <t>TIRUCHIRAPALLY ,TRICHY</t>
  </si>
  <si>
    <t>VAISHNAVI D</t>
  </si>
  <si>
    <t>SAMAYAPURAM</t>
  </si>
  <si>
    <t>50100872991858</t>
  </si>
  <si>
    <t>DATE : 11.05.2026 &amp; 14.05.2026</t>
  </si>
  <si>
    <t>Mr.DHANAPAL M</t>
  </si>
  <si>
    <t>INDIAN BANK</t>
  </si>
  <si>
    <t>WORIYUR</t>
  </si>
  <si>
    <t>IDIB000W008</t>
  </si>
  <si>
    <t>846867299</t>
  </si>
  <si>
    <t>Dr.ARULRAJ R</t>
  </si>
  <si>
    <t>AXIS BANK</t>
  </si>
  <si>
    <t>922010062480424</t>
  </si>
  <si>
    <t>Dr.P. NARAYANASAMY</t>
  </si>
  <si>
    <t>TAMILNAD MERCANTILE BANK</t>
  </si>
  <si>
    <t>SIVAKASI</t>
  </si>
  <si>
    <t>TMBL0000003</t>
  </si>
  <si>
    <t>003100050329415</t>
  </si>
  <si>
    <t>Mr.S. SIVANANTHAN</t>
  </si>
  <si>
    <t>HDFC BANK</t>
  </si>
  <si>
    <t>TIRUCHIRAPPALLI</t>
  </si>
  <si>
    <t>HDFC0009148</t>
  </si>
  <si>
    <t>50100873068249</t>
  </si>
  <si>
    <t>Dr.VIJAY ARASU I</t>
  </si>
  <si>
    <t>AREMPY TOWER</t>
  </si>
  <si>
    <t>HDFC0001277</t>
  </si>
  <si>
    <t>50100210066210</t>
  </si>
  <si>
    <t>Dr.RAVISANKAR A</t>
  </si>
  <si>
    <t>STATE BANK OF INDIA</t>
  </si>
  <si>
    <t>SIPCOT PERUNDURAI</t>
  </si>
  <si>
    <t>SBIN0010484</t>
  </si>
  <si>
    <t>20143298334</t>
  </si>
  <si>
    <t>Mr.IMAYAVAN B</t>
  </si>
  <si>
    <t>914010034935108</t>
  </si>
  <si>
    <t>Ms.POOJA BATT R</t>
  </si>
  <si>
    <t>KARUR VYSYA BANK</t>
  </si>
  <si>
    <t>KVBL0001725</t>
  </si>
  <si>
    <t>1725177000002329</t>
  </si>
  <si>
    <t>Mrs.</t>
  </si>
  <si>
    <t>CSE</t>
  </si>
  <si>
    <t>PUNB0665800</t>
  </si>
  <si>
    <t>SIRUGANUR</t>
  </si>
  <si>
    <t>UG</t>
  </si>
  <si>
    <t>Regular Lab</t>
  </si>
  <si>
    <t>Punjab National Bank</t>
  </si>
  <si>
    <t>Assistant Professor</t>
  </si>
  <si>
    <t>Axis Bank</t>
  </si>
  <si>
    <t>N/A</t>
  </si>
  <si>
    <t>0</t>
  </si>
  <si>
    <t>ECE</t>
  </si>
  <si>
    <t>kasthurirenganp.cse@krce.ac.in</t>
  </si>
  <si>
    <t>KASTHURI RENGAN P</t>
  </si>
  <si>
    <t>UTIB0001746</t>
  </si>
  <si>
    <t>KOTTUR</t>
  </si>
  <si>
    <t>NA</t>
  </si>
  <si>
    <t>9842612131</t>
  </si>
  <si>
    <t>913010015846824</t>
  </si>
  <si>
    <t>DATE : 05.06.2026</t>
  </si>
  <si>
    <t>I</t>
  </si>
  <si>
    <t>GEA1107</t>
  </si>
  <si>
    <t>C PROGRAMMING</t>
  </si>
  <si>
    <t>Ranjani U</t>
  </si>
  <si>
    <t>AIDS</t>
  </si>
  <si>
    <t>Surya G</t>
  </si>
  <si>
    <t>ICICI Bank</t>
  </si>
  <si>
    <t>ICIC0006093</t>
  </si>
  <si>
    <t>JAWAHAR STREET NACHANDUPATTI</t>
  </si>
  <si>
    <t>8270981412</t>
  </si>
  <si>
    <t>6658000400036837</t>
  </si>
  <si>
    <t>8220915957</t>
  </si>
  <si>
    <t>609301501667</t>
  </si>
  <si>
    <t>06.06.2026</t>
  </si>
  <si>
    <t>RANJANI U</t>
  </si>
  <si>
    <t>PUNJAB NATIONAL BANK</t>
  </si>
  <si>
    <t>SURYA G</t>
  </si>
  <si>
    <t>ICICI BANK</t>
  </si>
  <si>
    <r>
      <t xml:space="preserve">Mrs.RANJANI U </t>
    </r>
    <r>
      <rPr>
        <sz val="14"/>
        <color theme="1"/>
        <rFont val="Times New Roman"/>
        <family val="1"/>
      </rPr>
      <t>(06.06.2026)</t>
    </r>
  </si>
  <si>
    <t>Mr.KASTHURI RENGAN P(06.06.2026)</t>
  </si>
  <si>
    <t>Mrs.SURYA G(06.06.2026)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</si>
</sst>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-* #,##0_-;\-* #,##0_-;_-* &quot;-&quot;??_-;_-@_-"/>
    <numFmt numFmtId="165" formatCode="[$-14009]dd\-mm\-yyyy;@"/>
  </numFmts>
  <fonts count="3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Times New Roman"/>
      <family val="1"/>
    </font>
    <font>
      <sz val="10"/>
      <color rgb="FF434343"/>
      <name val="Roboto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000000"/>
      <name val="Times New Roman"/>
      <family val="1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6"/>
      <color rgb="FF000000"/>
      <name val="Times New Roman"/>
      <family val="1"/>
    </font>
    <font>
      <b/>
      <sz val="24"/>
      <color rgb="FF000000"/>
      <name val="Times New Roman"/>
      <family val="1"/>
    </font>
    <font>
      <b/>
      <sz val="10"/>
      <color rgb="FF000000"/>
      <name val="Times New Roman"/>
      <family val="1"/>
    </font>
    <font>
      <b/>
      <sz val="9"/>
      <color rgb="FF000000"/>
      <name val="Times New Roman"/>
      <family val="1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b/>
      <sz val="18"/>
      <color rgb="FF000000"/>
      <name val="Times New Roman"/>
      <family val="1"/>
    </font>
    <font>
      <b/>
      <sz val="20"/>
      <color rgb="FF000000"/>
      <name val="Times New Roman"/>
      <family val="1"/>
    </font>
    <font>
      <sz val="20"/>
      <color rgb="FF000000"/>
      <name val="Calibri"/>
      <family val="2"/>
      <scheme val="minor"/>
    </font>
    <font>
      <b/>
      <sz val="10"/>
      <name val="Roboto"/>
    </font>
    <font>
      <b/>
      <sz val="10"/>
      <color rgb="FF434343"/>
      <name val="Roboto"/>
    </font>
    <font>
      <b/>
      <sz val="9"/>
      <color theme="1"/>
      <name val="Times New Roman"/>
      <family val="1"/>
    </font>
    <font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i/>
      <sz val="14"/>
      <color theme="1"/>
      <name val="Arial Rounded MT Bold"/>
      <family val="2"/>
    </font>
    <font>
      <b/>
      <sz val="14"/>
      <color theme="1"/>
      <name val="Calibri"/>
      <family val="2"/>
      <scheme val="minor"/>
    </font>
    <font>
      <b/>
      <sz val="12"/>
      <color rgb="FF000000"/>
      <name val="Times New Roman"/>
      <family val="1"/>
    </font>
    <font>
      <b/>
      <u/>
      <sz val="18"/>
      <color rgb="FF000000"/>
      <name val="Times New Roman"/>
      <family val="1"/>
    </font>
    <font>
      <sz val="10"/>
      <color rgb="FF000000"/>
      <name val="Times New Roman"/>
      <family val="1"/>
    </font>
    <font>
      <sz val="16"/>
      <color theme="1"/>
      <name val="Times New Roman"/>
      <family val="1"/>
    </font>
    <font>
      <sz val="18"/>
      <color theme="1"/>
      <name val="Times New Roman"/>
      <family val="1"/>
    </font>
    <font>
      <b/>
      <sz val="18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000000"/>
      <name val="Times New Roman"/>
      <family val="1"/>
    </font>
    <font>
      <sz val="18"/>
      <color rgb="FF000000"/>
      <name val="Times New Roman"/>
      <family val="1"/>
    </font>
    <font>
      <sz val="14"/>
      <color theme="1"/>
      <name val="Times New Roman"/>
      <family val="1"/>
    </font>
  </fonts>
  <fills count="12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8F9FA"/>
        <bgColor rgb="FFF8F9FA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9" fillId="0" borderId="0"/>
  </cellStyleXfs>
  <cellXfs count="167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1" xfId="0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0" fillId="4" borderId="0" xfId="0" applyFill="1"/>
    <xf numFmtId="0" fontId="0" fillId="0" borderId="0" xfId="0" applyAlignment="1">
      <alignment horizontal="left"/>
    </xf>
    <xf numFmtId="0" fontId="2" fillId="0" borderId="6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9" fillId="0" borderId="0" xfId="2"/>
    <xf numFmtId="0" fontId="12" fillId="0" borderId="1" xfId="2" applyFont="1" applyBorder="1" applyAlignment="1">
      <alignment horizontal="center" vertical="center" wrapText="1"/>
    </xf>
    <xf numFmtId="49" fontId="12" fillId="0" borderId="1" xfId="2" applyNumberFormat="1" applyFont="1" applyBorder="1" applyAlignment="1">
      <alignment horizontal="center" vertical="center" wrapText="1"/>
    </xf>
    <xf numFmtId="0" fontId="13" fillId="0" borderId="0" xfId="2" applyFont="1" applyAlignment="1">
      <alignment horizontal="center" vertical="center" wrapText="1"/>
    </xf>
    <xf numFmtId="0" fontId="14" fillId="0" borderId="3" xfId="2" applyFont="1" applyBorder="1" applyAlignment="1">
      <alignment horizontal="center" vertical="center" wrapText="1"/>
    </xf>
    <xf numFmtId="0" fontId="14" fillId="0" borderId="1" xfId="2" applyFont="1" applyBorder="1" applyAlignment="1">
      <alignment horizontal="center" vertical="center" wrapText="1"/>
    </xf>
    <xf numFmtId="0" fontId="10" fillId="0" borderId="1" xfId="2" applyFont="1" applyBorder="1" applyAlignment="1">
      <alignment vertical="center" wrapText="1"/>
    </xf>
    <xf numFmtId="0" fontId="14" fillId="0" borderId="0" xfId="2" applyFont="1" applyAlignment="1">
      <alignment vertical="center" wrapText="1"/>
    </xf>
    <xf numFmtId="14" fontId="14" fillId="0" borderId="0" xfId="2" applyNumberFormat="1" applyFont="1" applyAlignment="1">
      <alignment horizontal="center" vertical="center" wrapText="1"/>
    </xf>
    <xf numFmtId="0" fontId="14" fillId="0" borderId="0" xfId="2" applyFont="1" applyAlignment="1">
      <alignment horizontal="center" vertical="center" wrapText="1"/>
    </xf>
    <xf numFmtId="49" fontId="14" fillId="0" borderId="0" xfId="2" applyNumberFormat="1" applyFont="1" applyAlignment="1">
      <alignment vertical="center" wrapText="1"/>
    </xf>
    <xf numFmtId="0" fontId="17" fillId="0" borderId="0" xfId="2" applyFont="1" applyAlignment="1">
      <alignment wrapText="1"/>
    </xf>
    <xf numFmtId="0" fontId="17" fillId="0" borderId="0" xfId="2" applyFont="1" applyAlignment="1">
      <alignment horizontal="center" wrapText="1"/>
    </xf>
    <xf numFmtId="49" fontId="17" fillId="0" borderId="0" xfId="2" applyNumberFormat="1" applyFont="1" applyAlignment="1">
      <alignment wrapText="1"/>
    </xf>
    <xf numFmtId="0" fontId="18" fillId="0" borderId="0" xfId="2" applyFont="1"/>
    <xf numFmtId="1" fontId="14" fillId="0" borderId="0" xfId="2" applyNumberFormat="1" applyFont="1" applyAlignment="1">
      <alignment vertical="center" wrapText="1"/>
    </xf>
    <xf numFmtId="0" fontId="14" fillId="0" borderId="0" xfId="2" applyFont="1" applyAlignment="1">
      <alignment horizontal="left" vertical="center" wrapText="1"/>
    </xf>
    <xf numFmtId="1" fontId="12" fillId="0" borderId="1" xfId="2" applyNumberFormat="1" applyFont="1" applyBorder="1" applyAlignment="1">
      <alignment horizontal="center" vertical="center" wrapText="1"/>
    </xf>
    <xf numFmtId="14" fontId="12" fillId="0" borderId="1" xfId="2" applyNumberFormat="1" applyFont="1" applyBorder="1" applyAlignment="1">
      <alignment horizontal="center" vertical="center" wrapText="1"/>
    </xf>
    <xf numFmtId="0" fontId="15" fillId="0" borderId="2" xfId="2" applyFont="1" applyBorder="1" applyAlignment="1">
      <alignment horizontal="left" vertical="center" wrapText="1"/>
    </xf>
    <xf numFmtId="0" fontId="15" fillId="0" borderId="3" xfId="2" applyFont="1" applyBorder="1" applyAlignment="1">
      <alignment vertical="center" wrapText="1"/>
    </xf>
    <xf numFmtId="1" fontId="10" fillId="0" borderId="1" xfId="2" applyNumberFormat="1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center" vertical="top" wrapText="1"/>
    </xf>
    <xf numFmtId="0" fontId="5" fillId="0" borderId="0" xfId="0" applyFont="1" applyAlignment="1">
      <alignment horizontal="center" vertical="top" wrapText="1"/>
    </xf>
    <xf numFmtId="0" fontId="5" fillId="0" borderId="1" xfId="0" applyFont="1" applyBorder="1" applyAlignment="1">
      <alignment horizontal="center" vertical="center"/>
    </xf>
    <xf numFmtId="14" fontId="15" fillId="0" borderId="1" xfId="2" applyNumberFormat="1" applyFont="1" applyBorder="1" applyAlignment="1">
      <alignment horizontal="center" vertical="center" wrapText="1"/>
    </xf>
    <xf numFmtId="0" fontId="15" fillId="0" borderId="1" xfId="2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7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2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/>
    </xf>
    <xf numFmtId="0" fontId="19" fillId="0" borderId="1" xfId="0" applyFont="1" applyBorder="1" applyAlignment="1">
      <alignment horizontal="center" vertical="top" wrapText="1"/>
    </xf>
    <xf numFmtId="0" fontId="19" fillId="0" borderId="4" xfId="0" applyFont="1" applyBorder="1" applyAlignment="1">
      <alignment horizontal="center" vertical="top" wrapText="1"/>
    </xf>
    <xf numFmtId="0" fontId="19" fillId="6" borderId="1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  <xf numFmtId="0" fontId="0" fillId="0" borderId="9" xfId="0" applyBorder="1" applyAlignment="1">
      <alignment horizontal="center" vertical="center"/>
    </xf>
    <xf numFmtId="0" fontId="22" fillId="0" borderId="9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24" fillId="7" borderId="1" xfId="0" applyFont="1" applyFill="1" applyBorder="1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23" fillId="7" borderId="0" xfId="0" applyFont="1" applyFill="1" applyAlignment="1">
      <alignment horizontal="center" vertical="center"/>
    </xf>
    <xf numFmtId="0" fontId="22" fillId="11" borderId="9" xfId="0" applyFont="1" applyFill="1" applyBorder="1" applyAlignment="1">
      <alignment horizontal="center" vertical="center"/>
    </xf>
    <xf numFmtId="0" fontId="22" fillId="11" borderId="1" xfId="0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164" fontId="5" fillId="0" borderId="1" xfId="1" applyNumberFormat="1" applyFont="1" applyBorder="1" applyAlignment="1">
      <alignment horizontal="center" vertical="center" wrapText="1"/>
    </xf>
    <xf numFmtId="0" fontId="10" fillId="0" borderId="3" xfId="2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17" fillId="0" borderId="0" xfId="2" applyFont="1" applyAlignment="1">
      <alignment horizontal="left" wrapText="1"/>
    </xf>
    <xf numFmtId="0" fontId="26" fillId="0" borderId="1" xfId="2" applyFont="1" applyBorder="1" applyAlignment="1">
      <alignment horizontal="center" vertical="center" wrapText="1"/>
    </xf>
    <xf numFmtId="49" fontId="26" fillId="0" borderId="1" xfId="2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 wrapText="1"/>
    </xf>
    <xf numFmtId="0" fontId="6" fillId="5" borderId="5" xfId="0" applyFont="1" applyFill="1" applyBorder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/>
    </xf>
    <xf numFmtId="22" fontId="0" fillId="0" borderId="1" xfId="0" applyNumberFormat="1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49" fontId="0" fillId="0" borderId="0" xfId="0" applyNumberFormat="1" applyAlignment="1">
      <alignment horizontal="left" vertical="center"/>
    </xf>
    <xf numFmtId="0" fontId="5" fillId="0" borderId="0" xfId="0" applyFont="1" applyAlignment="1">
      <alignment horizontal="left" vertical="center" wrapText="1"/>
    </xf>
    <xf numFmtId="165" fontId="0" fillId="0" borderId="0" xfId="0" applyNumberFormat="1" applyAlignment="1">
      <alignment horizontal="left" vertical="center"/>
    </xf>
    <xf numFmtId="49" fontId="5" fillId="0" borderId="1" xfId="0" applyNumberFormat="1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horizontal="center" vertical="center" wrapText="1"/>
    </xf>
    <xf numFmtId="0" fontId="13" fillId="0" borderId="1" xfId="2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2" fillId="0" borderId="0" xfId="0" applyFont="1"/>
    <xf numFmtId="43" fontId="16" fillId="0" borderId="1" xfId="1" applyFont="1" applyBorder="1" applyAlignment="1">
      <alignment horizontal="center" vertical="center" wrapText="1"/>
    </xf>
    <xf numFmtId="0" fontId="28" fillId="0" borderId="0" xfId="2" applyFont="1"/>
    <xf numFmtId="14" fontId="10" fillId="0" borderId="0" xfId="2" applyNumberFormat="1" applyFont="1" applyAlignment="1">
      <alignment vertical="center" wrapText="1"/>
    </xf>
    <xf numFmtId="43" fontId="31" fillId="0" borderId="1" xfId="1" applyFont="1" applyBorder="1" applyAlignment="1">
      <alignment horizontal="right" vertical="center"/>
    </xf>
    <xf numFmtId="0" fontId="32" fillId="0" borderId="1" xfId="0" applyFont="1" applyBorder="1" applyAlignment="1">
      <alignment horizontal="center" vertical="center"/>
    </xf>
    <xf numFmtId="0" fontId="29" fillId="0" borderId="0" xfId="0" applyFont="1" applyAlignment="1">
      <alignment vertical="center"/>
    </xf>
    <xf numFmtId="1" fontId="29" fillId="0" borderId="1" xfId="0" applyNumberFormat="1" applyFont="1" applyBorder="1" applyAlignment="1">
      <alignment horizontal="center" vertical="center"/>
    </xf>
    <xf numFmtId="0" fontId="29" fillId="0" borderId="1" xfId="0" applyFont="1" applyBorder="1" applyAlignment="1">
      <alignment horizontal="left" vertical="center"/>
    </xf>
    <xf numFmtId="43" fontId="32" fillId="0" borderId="1" xfId="0" applyNumberFormat="1" applyFont="1" applyBorder="1" applyAlignment="1">
      <alignment vertical="center"/>
    </xf>
    <xf numFmtId="0" fontId="16" fillId="0" borderId="0" xfId="2" applyFont="1" applyAlignment="1">
      <alignment wrapText="1"/>
    </xf>
    <xf numFmtId="0" fontId="30" fillId="0" borderId="0" xfId="0" applyFont="1"/>
    <xf numFmtId="0" fontId="5" fillId="6" borderId="1" xfId="0" applyFont="1" applyFill="1" applyBorder="1" applyAlignment="1">
      <alignment horizontal="center" vertical="top" wrapText="1"/>
    </xf>
    <xf numFmtId="0" fontId="12" fillId="0" borderId="2" xfId="2" applyFont="1" applyBorder="1" applyAlignment="1">
      <alignment horizontal="center" vertical="center" wrapText="1"/>
    </xf>
    <xf numFmtId="0" fontId="12" fillId="0" borderId="3" xfId="2" applyFont="1" applyBorder="1" applyAlignment="1">
      <alignment horizontal="center" vertical="center" wrapText="1"/>
    </xf>
    <xf numFmtId="0" fontId="12" fillId="0" borderId="2" xfId="2" applyFont="1" applyBorder="1" applyAlignment="1">
      <alignment vertical="center" wrapText="1"/>
    </xf>
    <xf numFmtId="0" fontId="12" fillId="0" borderId="3" xfId="2" applyFont="1" applyBorder="1" applyAlignment="1">
      <alignment vertical="center" wrapText="1"/>
    </xf>
    <xf numFmtId="0" fontId="29" fillId="0" borderId="1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20" fillId="6" borderId="1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5" fillId="6" borderId="3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49" fontId="0" fillId="0" borderId="0" xfId="0" applyNumberFormat="1" applyAlignment="1">
      <alignment horizontal="center" vertical="center"/>
    </xf>
    <xf numFmtId="49" fontId="5" fillId="6" borderId="0" xfId="0" applyNumberFormat="1" applyFont="1" applyFill="1" applyAlignment="1">
      <alignment horizontal="center" vertical="center"/>
    </xf>
    <xf numFmtId="49" fontId="5" fillId="6" borderId="0" xfId="0" applyNumberFormat="1" applyFont="1" applyFill="1" applyAlignment="1">
      <alignment horizontal="center"/>
    </xf>
    <xf numFmtId="0" fontId="19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center" wrapText="1"/>
    </xf>
    <xf numFmtId="22" fontId="0" fillId="0" borderId="1" xfId="0" applyNumberFormat="1" applyBorder="1" applyAlignment="1">
      <alignment horizontal="center" vertical="center" wrapText="1"/>
    </xf>
    <xf numFmtId="14" fontId="10" fillId="0" borderId="0" xfId="2" applyNumberFormat="1" applyFont="1" applyAlignment="1">
      <alignment horizontal="center" vertical="center" wrapText="1"/>
    </xf>
    <xf numFmtId="0" fontId="29" fillId="0" borderId="1" xfId="0" applyFont="1" applyBorder="1" applyAlignment="1">
      <alignment horizontal="center" vertical="center"/>
    </xf>
    <xf numFmtId="43" fontId="32" fillId="0" borderId="1" xfId="1" applyFont="1" applyBorder="1" applyAlignment="1">
      <alignment horizontal="center" vertical="center"/>
    </xf>
    <xf numFmtId="0" fontId="35" fillId="0" borderId="1" xfId="0" applyFont="1" applyBorder="1" applyAlignment="1">
      <alignment horizontal="left" vertical="center"/>
    </xf>
    <xf numFmtId="0" fontId="35" fillId="0" borderId="1" xfId="0" applyFont="1" applyBorder="1" applyAlignment="1">
      <alignment horizontal="center" vertical="center"/>
    </xf>
    <xf numFmtId="1" fontId="28" fillId="0" borderId="1" xfId="2" applyNumberFormat="1" applyFont="1" applyBorder="1" applyAlignment="1">
      <alignment horizontal="center" vertical="center" wrapText="1"/>
    </xf>
    <xf numFmtId="14" fontId="28" fillId="0" borderId="1" xfId="2" applyNumberFormat="1" applyFont="1" applyBorder="1" applyAlignment="1">
      <alignment horizontal="center" vertical="center" wrapText="1"/>
    </xf>
    <xf numFmtId="0" fontId="28" fillId="0" borderId="10" xfId="2" applyFont="1" applyBorder="1" applyAlignment="1">
      <alignment horizontal="center" vertical="center" wrapText="1"/>
    </xf>
    <xf numFmtId="0" fontId="28" fillId="0" borderId="3" xfId="2" applyFont="1" applyBorder="1" applyAlignment="1">
      <alignment horizontal="center" vertical="center" wrapText="1"/>
    </xf>
    <xf numFmtId="0" fontId="28" fillId="0" borderId="1" xfId="2" applyFont="1" applyBorder="1" applyAlignment="1">
      <alignment horizontal="center" vertical="center" wrapText="1"/>
    </xf>
    <xf numFmtId="49" fontId="28" fillId="0" borderId="1" xfId="2" applyNumberFormat="1" applyFont="1" applyBorder="1" applyAlignment="1">
      <alignment horizontal="center" vertical="center" wrapText="1"/>
    </xf>
    <xf numFmtId="43" fontId="28" fillId="0" borderId="1" xfId="1" applyFont="1" applyBorder="1" applyAlignment="1">
      <alignment horizontal="center" vertical="center" wrapText="1"/>
    </xf>
    <xf numFmtId="0" fontId="28" fillId="0" borderId="11" xfId="2" applyFont="1" applyBorder="1" applyAlignment="1">
      <alignment horizontal="center" vertical="center" wrapText="1"/>
    </xf>
    <xf numFmtId="0" fontId="28" fillId="0" borderId="12" xfId="2" applyFont="1" applyBorder="1" applyAlignment="1">
      <alignment horizontal="center" vertical="center" wrapText="1"/>
    </xf>
    <xf numFmtId="2" fontId="7" fillId="0" borderId="1" xfId="2" applyNumberFormat="1" applyFont="1" applyBorder="1" applyAlignment="1">
      <alignment horizontal="right" vertical="center" wrapText="1"/>
    </xf>
    <xf numFmtId="2" fontId="7" fillId="0" borderId="1" xfId="1" applyNumberFormat="1" applyFont="1" applyBorder="1" applyAlignment="1">
      <alignment horizontal="right" vertical="center" wrapText="1"/>
    </xf>
    <xf numFmtId="43" fontId="31" fillId="0" borderId="1" xfId="0" applyNumberFormat="1" applyFont="1" applyBorder="1" applyAlignment="1">
      <alignment vertical="center"/>
    </xf>
    <xf numFmtId="0" fontId="35" fillId="0" borderId="1" xfId="0" applyFont="1" applyBorder="1" applyAlignment="1">
      <alignment horizontal="center" vertical="center" wrapText="1"/>
    </xf>
    <xf numFmtId="1" fontId="16" fillId="0" borderId="2" xfId="2" applyNumberFormat="1" applyFont="1" applyBorder="1" applyAlignment="1">
      <alignment horizontal="center" vertical="center" wrapText="1"/>
    </xf>
    <xf numFmtId="1" fontId="16" fillId="0" borderId="10" xfId="2" applyNumberFormat="1" applyFont="1" applyBorder="1" applyAlignment="1">
      <alignment horizontal="center" vertical="center" wrapText="1"/>
    </xf>
    <xf numFmtId="1" fontId="16" fillId="0" borderId="3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horizontal="left" wrapText="1"/>
    </xf>
    <xf numFmtId="49" fontId="17" fillId="0" borderId="0" xfId="2" applyNumberFormat="1" applyFont="1" applyAlignment="1">
      <alignment horizontal="right" wrapText="1"/>
    </xf>
    <xf numFmtId="14" fontId="10" fillId="0" borderId="0" xfId="2" applyNumberFormat="1" applyFont="1" applyAlignment="1">
      <alignment horizontal="center" vertical="center" wrapText="1"/>
    </xf>
    <xf numFmtId="14" fontId="27" fillId="0" borderId="0" xfId="2" applyNumberFormat="1" applyFont="1" applyAlignment="1">
      <alignment horizontal="center" vertical="center" wrapText="1"/>
    </xf>
    <xf numFmtId="14" fontId="34" fillId="0" borderId="0" xfId="2" applyNumberFormat="1" applyFont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/>
    </xf>
    <xf numFmtId="0" fontId="12" fillId="0" borderId="7" xfId="2" applyFont="1" applyBorder="1" applyAlignment="1">
      <alignment horizontal="center" vertical="center" wrapText="1"/>
    </xf>
    <xf numFmtId="0" fontId="12" fillId="0" borderId="8" xfId="2" applyFont="1" applyBorder="1" applyAlignment="1">
      <alignment horizontal="center" vertical="center" wrapText="1"/>
    </xf>
    <xf numFmtId="0" fontId="16" fillId="0" borderId="0" xfId="2" applyFont="1" applyAlignment="1">
      <alignment horizontal="center" wrapText="1"/>
    </xf>
    <xf numFmtId="0" fontId="32" fillId="0" borderId="1" xfId="0" applyFont="1" applyBorder="1" applyAlignment="1">
      <alignment horizontal="center" vertical="center"/>
    </xf>
    <xf numFmtId="0" fontId="32" fillId="0" borderId="2" xfId="0" applyFont="1" applyBorder="1" applyAlignment="1">
      <alignment horizontal="center" vertical="center"/>
    </xf>
    <xf numFmtId="0" fontId="32" fillId="0" borderId="3" xfId="0" applyFont="1" applyBorder="1" applyAlignment="1">
      <alignment horizontal="center" vertical="center"/>
    </xf>
    <xf numFmtId="14" fontId="33" fillId="0" borderId="13" xfId="2" applyNumberFormat="1" applyFont="1" applyBorder="1" applyAlignment="1">
      <alignment horizontal="left" vertical="center" wrapText="1"/>
    </xf>
  </cellXfs>
  <cellStyles count="3">
    <cellStyle name="Comma" xfId="1" builtinId="3"/>
    <cellStyle name="Normal" xfId="0" builtinId="0"/>
    <cellStyle name="Normal 2" xfId="2" xr:uid="{00000000-0005-0000-0000-000002000000}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1"/>
      </font>
      <fill>
        <patternFill>
          <bgColor theme="7"/>
        </patternFill>
      </fill>
    </dxf>
  </dxfs>
  <tableStyles count="0" defaultTableStyle="TableStyleMedium2" defaultPivotStyle="PivotStyleLight16"/>
  <colors>
    <mruColors>
      <color rgb="FFFF8F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802898</xdr:colOff>
      <xdr:row>0</xdr:row>
      <xdr:rowOff>153920</xdr:rowOff>
    </xdr:from>
    <xdr:to>
      <xdr:col>7</xdr:col>
      <xdr:colOff>199358</xdr:colOff>
      <xdr:row>0</xdr:row>
      <xdr:rowOff>1037024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5B4B38-B610-4BC2-8ADF-8F2F551ABABB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83112" y="153920"/>
          <a:ext cx="1315067" cy="883104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10</xdr:col>
      <xdr:colOff>1405538</xdr:colOff>
      <xdr:row>0</xdr:row>
      <xdr:rowOff>85005</xdr:rowOff>
    </xdr:from>
    <xdr:to>
      <xdr:col>11</xdr:col>
      <xdr:colOff>760561</xdr:colOff>
      <xdr:row>0</xdr:row>
      <xdr:rowOff>966749</xdr:rowOff>
    </xdr:to>
    <xdr:pic>
      <xdr:nvPicPr>
        <xdr:cNvPr id="3" name="Picture 2" descr="A blue and red logo&#10;&#10;AI-generated content may be incorrect.">
          <a:extLst>
            <a:ext uri="{FF2B5EF4-FFF2-40B4-BE49-F238E27FC236}">
              <a16:creationId xmlns:a16="http://schemas.microsoft.com/office/drawing/2014/main" id="{DF6C50E6-70C5-C3EC-F032-F10DC84796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508967" y="85005"/>
          <a:ext cx="1083130" cy="881744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2616278</xdr:colOff>
      <xdr:row>0</xdr:row>
      <xdr:rowOff>40526</xdr:rowOff>
    </xdr:from>
    <xdr:to>
      <xdr:col>2</xdr:col>
      <xdr:colOff>447625</xdr:colOff>
      <xdr:row>0</xdr:row>
      <xdr:rowOff>735851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B3BB4E-8F87-4ADA-8516-AAA5921AC427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98984" y="40526"/>
          <a:ext cx="991406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5</xdr:col>
      <xdr:colOff>293886</xdr:colOff>
      <xdr:row>0</xdr:row>
      <xdr:rowOff>5872</xdr:rowOff>
    </xdr:from>
    <xdr:to>
      <xdr:col>5</xdr:col>
      <xdr:colOff>1098549</xdr:colOff>
      <xdr:row>0</xdr:row>
      <xdr:rowOff>734732</xdr:rowOff>
    </xdr:to>
    <xdr:pic>
      <xdr:nvPicPr>
        <xdr:cNvPr id="3" name="Picture 2" descr="A blue and red logo&#10;&#10;AI-generated content may be incorrect.">
          <a:extLst>
            <a:ext uri="{FF2B5EF4-FFF2-40B4-BE49-F238E27FC236}">
              <a16:creationId xmlns:a16="http://schemas.microsoft.com/office/drawing/2014/main" id="{1E8F55B7-A1B8-4BAE-A5BF-10F87AB3FD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12798" y="5872"/>
          <a:ext cx="804663" cy="72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2605072</xdr:colOff>
      <xdr:row>0</xdr:row>
      <xdr:rowOff>130174</xdr:rowOff>
    </xdr:from>
    <xdr:to>
      <xdr:col>2</xdr:col>
      <xdr:colOff>782782</xdr:colOff>
      <xdr:row>0</xdr:row>
      <xdr:rowOff>825499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5D0580-85E9-4478-8963-06B932B5204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6097" y="130174"/>
          <a:ext cx="993647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2713236</xdr:colOff>
      <xdr:row>0</xdr:row>
      <xdr:rowOff>39490</xdr:rowOff>
    </xdr:from>
    <xdr:to>
      <xdr:col>5</xdr:col>
      <xdr:colOff>688974</xdr:colOff>
      <xdr:row>0</xdr:row>
      <xdr:rowOff>768350</xdr:rowOff>
    </xdr:to>
    <xdr:pic>
      <xdr:nvPicPr>
        <xdr:cNvPr id="3" name="Picture 2" descr="A blue and red logo&#10;&#10;AI-generated content may be incorrect.">
          <a:extLst>
            <a:ext uri="{FF2B5EF4-FFF2-40B4-BE49-F238E27FC236}">
              <a16:creationId xmlns:a16="http://schemas.microsoft.com/office/drawing/2014/main" id="{29E63CAB-A1B7-4201-AD12-2714C2A14B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057011" y="39490"/>
          <a:ext cx="804663" cy="72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2605072</xdr:colOff>
      <xdr:row>0</xdr:row>
      <xdr:rowOff>130174</xdr:rowOff>
    </xdr:from>
    <xdr:to>
      <xdr:col>2</xdr:col>
      <xdr:colOff>782782</xdr:colOff>
      <xdr:row>0</xdr:row>
      <xdr:rowOff>825499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205BB1-FF36-4025-9B04-35869E3E65F9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6097" y="130174"/>
          <a:ext cx="1006635" cy="69532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2713236</xdr:colOff>
      <xdr:row>0</xdr:row>
      <xdr:rowOff>39490</xdr:rowOff>
    </xdr:from>
    <xdr:to>
      <xdr:col>5</xdr:col>
      <xdr:colOff>688974</xdr:colOff>
      <xdr:row>0</xdr:row>
      <xdr:rowOff>768350</xdr:rowOff>
    </xdr:to>
    <xdr:pic>
      <xdr:nvPicPr>
        <xdr:cNvPr id="3" name="Picture 2" descr="A blue and red logo&#10;&#10;AI-generated content may be incorrect.">
          <a:extLst>
            <a:ext uri="{FF2B5EF4-FFF2-40B4-BE49-F238E27FC236}">
              <a16:creationId xmlns:a16="http://schemas.microsoft.com/office/drawing/2014/main" id="{E9FEC2E2-2167-417B-B948-FA94792FC6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23686" y="39490"/>
          <a:ext cx="804663" cy="72886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ekr\OneDrive\Desktop\SpellNumber1.xlam" TargetMode="External"/><Relationship Id="rId1" Type="http://schemas.openxmlformats.org/officeDocument/2006/relationships/externalLinkPath" Target="file:///C:\Users\coekr\OneDrive\Desktop\SpellNumber1.xla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  <sheetName val="SpellNumber1"/>
    </sheetNames>
    <definedNames>
      <definedName name="SPELLNUMBER"/>
    </definedNames>
    <sheetDataSet>
      <sheetData sheetId="0"/>
      <sheetData sheetId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0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BD127"/>
  <sheetViews>
    <sheetView topLeftCell="B1" zoomScale="85" zoomScaleNormal="85" workbookViewId="0">
      <selection activeCell="B3" sqref="B3"/>
    </sheetView>
  </sheetViews>
  <sheetFormatPr defaultRowHeight="15" x14ac:dyDescent="0.25"/>
  <cols>
    <col min="1" max="1" width="6.5703125" hidden="1" customWidth="1"/>
    <col min="2" max="2" width="18.140625" bestFit="1" customWidth="1"/>
    <col min="3" max="3" width="27.42578125" style="8" customWidth="1"/>
    <col min="4" max="4" width="14.85546875" style="2" customWidth="1"/>
    <col min="5" max="5" width="16.140625" style="2" customWidth="1"/>
    <col min="6" max="6" width="11" style="2" customWidth="1"/>
    <col min="7" max="7" width="26.28515625" style="2" bestFit="1" customWidth="1"/>
    <col min="8" max="8" width="12.42578125" style="2" customWidth="1"/>
    <col min="9" max="9" width="22.85546875" style="2" customWidth="1"/>
    <col min="10" max="10" width="11.7109375" style="2" customWidth="1"/>
    <col min="11" max="11" width="9.5703125" style="2" customWidth="1"/>
    <col min="12" max="12" width="20.140625" style="2" customWidth="1"/>
    <col min="13" max="14" width="9.7109375" style="2" customWidth="1"/>
    <col min="15" max="15" width="9.5703125" style="2" customWidth="1"/>
    <col min="16" max="16" width="24.28515625" style="2" customWidth="1"/>
    <col min="17" max="17" width="20.140625" style="4" customWidth="1"/>
    <col min="18" max="18" width="11.85546875" style="2" customWidth="1"/>
    <col min="19" max="19" width="19" style="2" customWidth="1"/>
    <col min="20" max="20" width="43.140625" style="2" bestFit="1" customWidth="1"/>
    <col min="21" max="21" width="21.42578125" style="125" customWidth="1"/>
    <col min="22" max="22" width="23" style="2" bestFit="1" customWidth="1"/>
    <col min="23" max="23" width="13.7109375" style="4" customWidth="1"/>
    <col min="24" max="24" width="19.85546875" style="2" customWidth="1"/>
    <col min="25" max="25" width="7.42578125" style="2" customWidth="1"/>
    <col min="26" max="26" width="19.7109375" style="2" customWidth="1"/>
    <col min="27" max="27" width="16.42578125" style="4" bestFit="1" customWidth="1"/>
    <col min="28" max="29" width="12.85546875" style="2" customWidth="1"/>
    <col min="30" max="30" width="26.28515625" style="125" customWidth="1"/>
    <col min="31" max="31" width="23" style="2" bestFit="1" customWidth="1"/>
    <col min="32" max="32" width="16.140625" style="2" customWidth="1"/>
    <col min="33" max="33" width="19.7109375" style="2" customWidth="1"/>
    <col min="34" max="34" width="8.42578125" style="2" customWidth="1"/>
    <col min="35" max="35" width="18.85546875" style="8" customWidth="1"/>
    <col min="36" max="36" width="12.85546875" style="4" customWidth="1"/>
    <col min="37" max="37" width="12.85546875" style="2" customWidth="1"/>
    <col min="38" max="38" width="19.5703125" style="2" bestFit="1" customWidth="1"/>
    <col min="39" max="39" width="21" style="125" bestFit="1" customWidth="1"/>
    <col min="40" max="40" width="18.28515625" style="2" customWidth="1"/>
    <col min="41" max="41" width="16.140625" style="2" bestFit="1" customWidth="1"/>
    <col min="42" max="42" width="23" style="2" bestFit="1" customWidth="1"/>
    <col min="43" max="44" width="12.85546875" style="2" customWidth="1"/>
    <col min="45" max="45" width="14.42578125" style="4" bestFit="1" customWidth="1"/>
    <col min="46" max="46" width="12.85546875" style="2" customWidth="1"/>
    <col min="47" max="47" width="22.42578125" style="125" customWidth="1"/>
    <col min="48" max="48" width="23" style="2" bestFit="1" customWidth="1"/>
    <col min="49" max="49" width="16.140625" style="2" bestFit="1" customWidth="1"/>
    <col min="50" max="50" width="17.85546875" style="2" customWidth="1"/>
  </cols>
  <sheetData>
    <row r="1" spans="1:56" s="46" customFormat="1" ht="44.25" customHeight="1" x14ac:dyDescent="0.25">
      <c r="A1" s="46" t="s">
        <v>49</v>
      </c>
      <c r="B1" s="47" t="s">
        <v>0</v>
      </c>
      <c r="C1" s="47" t="s">
        <v>1</v>
      </c>
      <c r="D1" s="47" t="s">
        <v>2</v>
      </c>
      <c r="E1" s="47" t="s">
        <v>335</v>
      </c>
      <c r="F1" s="47" t="s">
        <v>3</v>
      </c>
      <c r="G1" s="47" t="s">
        <v>4</v>
      </c>
      <c r="H1" s="47" t="s">
        <v>5</v>
      </c>
      <c r="I1" s="47" t="s">
        <v>6</v>
      </c>
      <c r="J1" s="47" t="s">
        <v>7</v>
      </c>
      <c r="K1" s="47" t="s">
        <v>8</v>
      </c>
      <c r="L1" s="47" t="s">
        <v>365</v>
      </c>
      <c r="M1" s="47" t="s">
        <v>9</v>
      </c>
      <c r="N1" s="47" t="s">
        <v>126</v>
      </c>
      <c r="O1" s="47" t="s">
        <v>10</v>
      </c>
      <c r="P1" s="48" t="s">
        <v>11</v>
      </c>
      <c r="Q1" s="48" t="s">
        <v>12</v>
      </c>
      <c r="R1" s="47" t="s">
        <v>13</v>
      </c>
      <c r="S1" s="47" t="s">
        <v>14</v>
      </c>
      <c r="T1" s="47" t="s">
        <v>15</v>
      </c>
      <c r="U1" s="49" t="s">
        <v>336</v>
      </c>
      <c r="V1" s="47" t="s">
        <v>337</v>
      </c>
      <c r="W1" s="47" t="s">
        <v>338</v>
      </c>
      <c r="X1" s="47" t="s">
        <v>339</v>
      </c>
      <c r="Y1" s="47" t="s">
        <v>20</v>
      </c>
      <c r="Z1" s="47" t="s">
        <v>21</v>
      </c>
      <c r="AA1" s="47" t="s">
        <v>22</v>
      </c>
      <c r="AB1" s="47" t="s">
        <v>23</v>
      </c>
      <c r="AC1" s="47" t="s">
        <v>24</v>
      </c>
      <c r="AD1" s="49" t="s">
        <v>340</v>
      </c>
      <c r="AE1" s="47" t="s">
        <v>341</v>
      </c>
      <c r="AF1" s="47" t="s">
        <v>342</v>
      </c>
      <c r="AG1" s="47" t="s">
        <v>343</v>
      </c>
      <c r="AH1" s="47" t="s">
        <v>28</v>
      </c>
      <c r="AI1" s="126" t="s">
        <v>344</v>
      </c>
      <c r="AJ1" s="47" t="s">
        <v>30</v>
      </c>
      <c r="AK1" s="47" t="s">
        <v>31</v>
      </c>
      <c r="AL1" s="47" t="s">
        <v>32</v>
      </c>
      <c r="AM1" s="49" t="s">
        <v>345</v>
      </c>
      <c r="AN1" s="47" t="s">
        <v>346</v>
      </c>
      <c r="AO1" s="47" t="s">
        <v>347</v>
      </c>
      <c r="AP1" s="47" t="s">
        <v>348</v>
      </c>
      <c r="AQ1" s="47" t="s">
        <v>36</v>
      </c>
      <c r="AR1" s="47" t="s">
        <v>349</v>
      </c>
      <c r="AS1" s="47" t="s">
        <v>38</v>
      </c>
      <c r="AT1" s="47" t="s">
        <v>39</v>
      </c>
      <c r="AU1" s="49" t="s">
        <v>350</v>
      </c>
      <c r="AV1" s="47" t="s">
        <v>351</v>
      </c>
      <c r="AW1" s="47" t="s">
        <v>352</v>
      </c>
      <c r="AX1" s="47" t="s">
        <v>353</v>
      </c>
      <c r="AY1" s="50"/>
      <c r="AZ1" s="50"/>
      <c r="BA1" s="50"/>
      <c r="BB1" s="50"/>
      <c r="BC1" s="50"/>
      <c r="BD1" s="50"/>
    </row>
    <row r="2" spans="1:56" s="61" customFormat="1" ht="35.25" customHeight="1" x14ac:dyDescent="0.25">
      <c r="A2" s="71"/>
      <c r="B2" s="128">
        <v>46179.54146990741</v>
      </c>
      <c r="C2" s="127" t="s">
        <v>475</v>
      </c>
      <c r="D2" s="88" t="s">
        <v>496</v>
      </c>
      <c r="E2" s="88" t="s">
        <v>363</v>
      </c>
      <c r="F2" s="5" t="s">
        <v>467</v>
      </c>
      <c r="G2" s="5" t="s">
        <v>356</v>
      </c>
      <c r="H2" s="5" t="s">
        <v>484</v>
      </c>
      <c r="I2" s="71" t="s">
        <v>485</v>
      </c>
      <c r="J2" s="5" t="s">
        <v>474</v>
      </c>
      <c r="K2" s="5" t="s">
        <v>483</v>
      </c>
      <c r="L2" s="71" t="s">
        <v>468</v>
      </c>
      <c r="M2" s="5">
        <v>23</v>
      </c>
      <c r="N2" s="5">
        <v>22</v>
      </c>
      <c r="O2" s="111" t="s">
        <v>463</v>
      </c>
      <c r="P2" s="76" t="s">
        <v>486</v>
      </c>
      <c r="Q2" s="112" t="s">
        <v>492</v>
      </c>
      <c r="R2" s="79" t="s">
        <v>487</v>
      </c>
      <c r="S2" s="5" t="s">
        <v>470</v>
      </c>
      <c r="T2" s="73" t="s">
        <v>165</v>
      </c>
      <c r="U2" s="113" t="s">
        <v>493</v>
      </c>
      <c r="V2" s="5" t="s">
        <v>469</v>
      </c>
      <c r="W2" s="88" t="s">
        <v>465</v>
      </c>
      <c r="X2" s="5" t="s">
        <v>466</v>
      </c>
      <c r="Y2" s="5" t="s">
        <v>419</v>
      </c>
      <c r="Z2" s="5" t="s">
        <v>476</v>
      </c>
      <c r="AA2" s="112" t="s">
        <v>480</v>
      </c>
      <c r="AB2" s="5" t="s">
        <v>464</v>
      </c>
      <c r="AC2" s="5" t="s">
        <v>470</v>
      </c>
      <c r="AD2" s="113" t="s">
        <v>481</v>
      </c>
      <c r="AE2" s="5" t="s">
        <v>471</v>
      </c>
      <c r="AF2" s="5" t="s">
        <v>477</v>
      </c>
      <c r="AG2" s="77" t="s">
        <v>478</v>
      </c>
      <c r="AH2" s="5" t="s">
        <v>463</v>
      </c>
      <c r="AI2" s="71" t="s">
        <v>488</v>
      </c>
      <c r="AJ2" s="112" t="s">
        <v>494</v>
      </c>
      <c r="AK2" s="5" t="s">
        <v>464</v>
      </c>
      <c r="AL2" s="5" t="s">
        <v>470</v>
      </c>
      <c r="AM2" s="113" t="s">
        <v>495</v>
      </c>
      <c r="AN2" s="71" t="s">
        <v>489</v>
      </c>
      <c r="AO2" s="5" t="s">
        <v>490</v>
      </c>
      <c r="AP2" s="114" t="s">
        <v>491</v>
      </c>
      <c r="AQ2" s="5" t="s">
        <v>472</v>
      </c>
      <c r="AR2" s="5" t="s">
        <v>479</v>
      </c>
      <c r="AS2" s="112" t="s">
        <v>473</v>
      </c>
      <c r="AT2" s="5" t="s">
        <v>472</v>
      </c>
      <c r="AU2" s="113" t="s">
        <v>479</v>
      </c>
      <c r="AV2" s="5"/>
      <c r="AW2" s="5"/>
      <c r="AX2" s="114"/>
    </row>
    <row r="3" spans="1:56" s="61" customFormat="1" ht="35.25" customHeight="1" x14ac:dyDescent="0.25">
      <c r="A3" s="71"/>
      <c r="B3" s="128"/>
      <c r="C3" s="127"/>
      <c r="D3" s="88"/>
      <c r="E3" s="5"/>
      <c r="F3" s="5"/>
      <c r="G3" s="5"/>
      <c r="H3" s="5"/>
      <c r="I3" s="71"/>
      <c r="J3" s="5"/>
      <c r="K3" s="5"/>
      <c r="L3" s="71"/>
      <c r="M3" s="5"/>
      <c r="N3" s="5"/>
      <c r="O3" s="111"/>
      <c r="P3" s="76"/>
      <c r="Q3" s="112"/>
      <c r="R3" s="79"/>
      <c r="S3" s="5"/>
      <c r="T3" s="73"/>
      <c r="U3" s="113"/>
      <c r="V3" s="5"/>
      <c r="W3" s="88"/>
      <c r="X3" s="5"/>
      <c r="Y3" s="5"/>
      <c r="Z3" s="5"/>
      <c r="AA3" s="112"/>
      <c r="AB3" s="5"/>
      <c r="AC3" s="5"/>
      <c r="AD3" s="113"/>
      <c r="AE3" s="5"/>
      <c r="AF3" s="5"/>
      <c r="AG3" s="77"/>
      <c r="AH3" s="5"/>
      <c r="AI3" s="71"/>
      <c r="AJ3" s="112"/>
      <c r="AK3" s="5"/>
      <c r="AL3" s="5"/>
      <c r="AM3" s="113"/>
      <c r="AN3" s="71"/>
      <c r="AO3" s="5"/>
      <c r="AP3" s="114"/>
      <c r="AQ3" s="5"/>
      <c r="AR3" s="5"/>
      <c r="AS3" s="112"/>
      <c r="AT3" s="5"/>
      <c r="AU3" s="113"/>
      <c r="AV3" s="5"/>
      <c r="AW3" s="5"/>
      <c r="AX3" s="114"/>
    </row>
    <row r="4" spans="1:56" s="61" customFormat="1" ht="35.25" customHeight="1" x14ac:dyDescent="0.25">
      <c r="A4" s="71"/>
      <c r="B4" s="128"/>
      <c r="C4" s="127"/>
      <c r="D4" s="88"/>
      <c r="E4" s="5"/>
      <c r="F4" s="5"/>
      <c r="G4" s="5"/>
      <c r="H4" s="5"/>
      <c r="I4" s="71"/>
      <c r="J4" s="5"/>
      <c r="K4" s="5"/>
      <c r="L4" s="71"/>
      <c r="M4" s="5"/>
      <c r="N4" s="5"/>
      <c r="O4" s="111"/>
      <c r="P4" s="76"/>
      <c r="Q4" s="112"/>
      <c r="R4" s="79"/>
      <c r="S4" s="5"/>
      <c r="T4" s="73"/>
      <c r="U4" s="113"/>
      <c r="V4" s="5"/>
      <c r="W4" s="88"/>
      <c r="X4" s="5"/>
      <c r="Y4" s="5"/>
      <c r="Z4" s="5"/>
      <c r="AA4" s="112"/>
      <c r="AB4" s="5"/>
      <c r="AC4" s="5"/>
      <c r="AD4" s="113"/>
      <c r="AE4" s="5"/>
      <c r="AF4" s="5"/>
      <c r="AG4" s="77"/>
      <c r="AH4" s="5"/>
      <c r="AI4" s="71"/>
      <c r="AJ4" s="112"/>
      <c r="AK4" s="5"/>
      <c r="AL4" s="5"/>
      <c r="AM4" s="113"/>
      <c r="AN4" s="71"/>
      <c r="AO4" s="5"/>
      <c r="AP4" s="114"/>
      <c r="AQ4" s="5"/>
      <c r="AR4" s="5"/>
      <c r="AS4" s="112"/>
      <c r="AT4" s="5"/>
      <c r="AU4" s="113"/>
      <c r="AV4" s="5"/>
      <c r="AW4" s="5"/>
      <c r="AX4" s="114"/>
    </row>
    <row r="5" spans="1:56" s="61" customFormat="1" ht="35.25" customHeight="1" x14ac:dyDescent="0.25">
      <c r="A5" s="71"/>
      <c r="B5" s="128"/>
      <c r="C5" s="127"/>
      <c r="D5" s="88"/>
      <c r="E5" s="5"/>
      <c r="F5" s="5"/>
      <c r="G5" s="5"/>
      <c r="H5" s="5"/>
      <c r="I5" s="71"/>
      <c r="J5" s="5"/>
      <c r="K5" s="5"/>
      <c r="L5" s="71"/>
      <c r="M5" s="5"/>
      <c r="N5" s="5"/>
      <c r="O5" s="111"/>
      <c r="P5" s="76"/>
      <c r="Q5" s="112"/>
      <c r="R5" s="79"/>
      <c r="S5" s="5"/>
      <c r="T5" s="73"/>
      <c r="U5" s="113"/>
      <c r="V5" s="5"/>
      <c r="W5" s="88"/>
      <c r="X5" s="5"/>
      <c r="Y5" s="5"/>
      <c r="Z5" s="5"/>
      <c r="AA5" s="112"/>
      <c r="AB5" s="5"/>
      <c r="AC5" s="5"/>
      <c r="AD5" s="113"/>
      <c r="AE5" s="5"/>
      <c r="AF5" s="5"/>
      <c r="AG5" s="77"/>
      <c r="AH5" s="5"/>
      <c r="AI5" s="71"/>
      <c r="AJ5" s="112"/>
      <c r="AK5" s="5"/>
      <c r="AL5" s="5"/>
      <c r="AM5" s="113"/>
      <c r="AN5" s="71"/>
      <c r="AO5" s="5"/>
      <c r="AP5" s="114"/>
      <c r="AQ5" s="5"/>
      <c r="AR5" s="5"/>
      <c r="AS5" s="112"/>
      <c r="AT5" s="5"/>
      <c r="AU5" s="113"/>
      <c r="AV5" s="5"/>
      <c r="AW5" s="5"/>
      <c r="AX5" s="114"/>
    </row>
    <row r="6" spans="1:56" s="61" customFormat="1" ht="35.25" customHeight="1" x14ac:dyDescent="0.25">
      <c r="A6" s="71"/>
      <c r="B6" s="128"/>
      <c r="C6" s="127"/>
      <c r="D6" s="88"/>
      <c r="E6" s="5"/>
      <c r="F6" s="5"/>
      <c r="G6" s="5"/>
      <c r="H6" s="5"/>
      <c r="I6" s="71"/>
      <c r="J6" s="5"/>
      <c r="K6" s="5"/>
      <c r="L6" s="71"/>
      <c r="M6" s="5"/>
      <c r="N6" s="5"/>
      <c r="O6" s="111"/>
      <c r="P6" s="76"/>
      <c r="Q6" s="112"/>
      <c r="R6" s="79"/>
      <c r="S6" s="5"/>
      <c r="T6" s="73"/>
      <c r="U6" s="113"/>
      <c r="V6" s="5"/>
      <c r="W6" s="88"/>
      <c r="X6" s="5"/>
      <c r="Y6" s="5"/>
      <c r="Z6" s="5"/>
      <c r="AA6" s="112"/>
      <c r="AB6" s="5"/>
      <c r="AC6" s="5"/>
      <c r="AD6" s="113"/>
      <c r="AE6" s="5"/>
      <c r="AF6" s="5"/>
      <c r="AG6" s="77"/>
      <c r="AH6" s="5"/>
      <c r="AI6" s="71"/>
      <c r="AJ6" s="112"/>
      <c r="AK6" s="5"/>
      <c r="AL6" s="5"/>
      <c r="AM6" s="113"/>
      <c r="AN6" s="71"/>
      <c r="AO6" s="5"/>
      <c r="AP6" s="114"/>
      <c r="AQ6" s="5"/>
      <c r="AR6" s="5"/>
      <c r="AS6" s="112"/>
      <c r="AT6" s="5"/>
      <c r="AU6" s="113"/>
      <c r="AV6" s="5"/>
      <c r="AW6" s="5"/>
      <c r="AX6" s="114"/>
    </row>
    <row r="7" spans="1:56" s="61" customFormat="1" ht="35.25" customHeight="1" x14ac:dyDescent="0.25">
      <c r="A7" s="71"/>
      <c r="B7" s="128"/>
      <c r="C7" s="127"/>
      <c r="D7" s="88"/>
      <c r="E7" s="5"/>
      <c r="F7" s="5"/>
      <c r="G7" s="5"/>
      <c r="H7" s="5"/>
      <c r="I7" s="71"/>
      <c r="J7" s="5"/>
      <c r="K7" s="5"/>
      <c r="L7" s="71"/>
      <c r="M7" s="5"/>
      <c r="N7" s="5"/>
      <c r="O7" s="111"/>
      <c r="P7" s="76"/>
      <c r="Q7" s="112"/>
      <c r="R7" s="79"/>
      <c r="S7" s="5"/>
      <c r="T7" s="73"/>
      <c r="U7" s="113"/>
      <c r="V7" s="5"/>
      <c r="W7" s="88"/>
      <c r="X7" s="5"/>
      <c r="Y7" s="5"/>
      <c r="Z7" s="5"/>
      <c r="AA7" s="112"/>
      <c r="AB7" s="5"/>
      <c r="AC7" s="5"/>
      <c r="AD7" s="113"/>
      <c r="AE7" s="5"/>
      <c r="AF7" s="5"/>
      <c r="AG7" s="77"/>
      <c r="AH7" s="5"/>
      <c r="AI7" s="71"/>
      <c r="AJ7" s="112"/>
      <c r="AK7" s="5"/>
      <c r="AL7" s="5"/>
      <c r="AM7" s="113"/>
      <c r="AN7" s="71"/>
      <c r="AO7" s="5"/>
      <c r="AP7" s="114"/>
      <c r="AQ7" s="5"/>
      <c r="AR7" s="5"/>
      <c r="AS7" s="112"/>
      <c r="AT7" s="5"/>
      <c r="AU7" s="113"/>
      <c r="AV7" s="5"/>
      <c r="AW7" s="5"/>
      <c r="AX7" s="114"/>
    </row>
    <row r="8" spans="1:56" s="61" customFormat="1" ht="35.25" customHeight="1" x14ac:dyDescent="0.25">
      <c r="A8" s="71"/>
      <c r="B8" s="128"/>
      <c r="C8" s="127"/>
      <c r="D8" s="88"/>
      <c r="E8" s="5"/>
      <c r="F8" s="5"/>
      <c r="G8" s="5"/>
      <c r="H8" s="5"/>
      <c r="I8" s="71"/>
      <c r="J8" s="5"/>
      <c r="K8" s="5"/>
      <c r="L8" s="71"/>
      <c r="M8" s="5"/>
      <c r="N8" s="5"/>
      <c r="O8" s="111"/>
      <c r="P8" s="76"/>
      <c r="Q8" s="112"/>
      <c r="R8" s="79"/>
      <c r="S8" s="5"/>
      <c r="T8" s="73"/>
      <c r="U8" s="113"/>
      <c r="V8" s="5"/>
      <c r="W8" s="88"/>
      <c r="X8" s="5"/>
      <c r="Y8" s="5"/>
      <c r="Z8" s="5"/>
      <c r="AA8" s="112"/>
      <c r="AB8" s="5"/>
      <c r="AC8" s="5"/>
      <c r="AD8" s="113"/>
      <c r="AE8" s="5"/>
      <c r="AF8" s="5"/>
      <c r="AG8" s="77"/>
      <c r="AH8" s="5"/>
      <c r="AI8" s="71"/>
      <c r="AJ8" s="112"/>
      <c r="AK8" s="5"/>
      <c r="AL8" s="5"/>
      <c r="AM8" s="113"/>
      <c r="AN8" s="71"/>
      <c r="AO8" s="5"/>
      <c r="AP8" s="114"/>
      <c r="AQ8" s="5"/>
      <c r="AR8" s="5"/>
      <c r="AS8" s="112"/>
      <c r="AT8" s="5"/>
      <c r="AU8" s="113"/>
      <c r="AV8" s="5"/>
      <c r="AW8" s="5"/>
      <c r="AX8" s="114"/>
    </row>
    <row r="9" spans="1:56" s="61" customFormat="1" ht="35.25" customHeight="1" x14ac:dyDescent="0.25">
      <c r="A9" s="71"/>
      <c r="B9" s="128"/>
      <c r="C9" s="127"/>
      <c r="D9" s="88"/>
      <c r="E9" s="5"/>
      <c r="F9" s="5"/>
      <c r="G9" s="5"/>
      <c r="H9" s="5"/>
      <c r="I9" s="71"/>
      <c r="J9" s="5"/>
      <c r="K9" s="5"/>
      <c r="L9" s="71"/>
      <c r="M9" s="5"/>
      <c r="N9" s="5"/>
      <c r="O9" s="111"/>
      <c r="P9" s="76"/>
      <c r="Q9" s="112"/>
      <c r="R9" s="79"/>
      <c r="S9" s="5"/>
      <c r="T9" s="73"/>
      <c r="U9" s="113"/>
      <c r="V9" s="5"/>
      <c r="W9" s="88"/>
      <c r="X9" s="5"/>
      <c r="Y9" s="5"/>
      <c r="Z9" s="5"/>
      <c r="AA9" s="112"/>
      <c r="AB9" s="5"/>
      <c r="AC9" s="5"/>
      <c r="AD9" s="113"/>
      <c r="AE9" s="5"/>
      <c r="AF9" s="5"/>
      <c r="AG9" s="77"/>
      <c r="AH9" s="5"/>
      <c r="AI9" s="71"/>
      <c r="AJ9" s="112"/>
      <c r="AK9" s="5"/>
      <c r="AL9" s="5"/>
      <c r="AM9" s="113"/>
      <c r="AN9" s="71"/>
      <c r="AO9" s="5"/>
      <c r="AP9" s="114"/>
      <c r="AQ9" s="5"/>
      <c r="AR9" s="5"/>
      <c r="AS9" s="112"/>
      <c r="AT9" s="5"/>
      <c r="AU9" s="113"/>
      <c r="AV9" s="5"/>
      <c r="AW9" s="5"/>
      <c r="AX9" s="114"/>
    </row>
    <row r="10" spans="1:56" s="61" customFormat="1" ht="35.25" customHeight="1" x14ac:dyDescent="0.25">
      <c r="A10" s="71"/>
      <c r="B10" s="128"/>
      <c r="C10" s="127"/>
      <c r="D10" s="88"/>
      <c r="E10" s="5"/>
      <c r="F10" s="5"/>
      <c r="G10" s="5"/>
      <c r="H10" s="5"/>
      <c r="I10" s="71"/>
      <c r="J10" s="5"/>
      <c r="K10" s="5"/>
      <c r="L10" s="71"/>
      <c r="M10" s="5"/>
      <c r="N10" s="5"/>
      <c r="O10" s="111"/>
      <c r="P10" s="76"/>
      <c r="Q10" s="112"/>
      <c r="R10" s="79"/>
      <c r="S10" s="5"/>
      <c r="T10" s="73"/>
      <c r="U10" s="113"/>
      <c r="V10" s="5"/>
      <c r="W10" s="88"/>
      <c r="X10" s="5"/>
      <c r="Y10" s="5"/>
      <c r="Z10" s="5"/>
      <c r="AA10" s="112"/>
      <c r="AB10" s="5"/>
      <c r="AC10" s="5"/>
      <c r="AD10" s="113"/>
      <c r="AE10" s="5"/>
      <c r="AF10" s="5"/>
      <c r="AG10" s="77"/>
      <c r="AH10" s="5"/>
      <c r="AI10" s="71"/>
      <c r="AJ10" s="112"/>
      <c r="AK10" s="5"/>
      <c r="AL10" s="5"/>
      <c r="AM10" s="113"/>
      <c r="AN10" s="71"/>
      <c r="AO10" s="5"/>
      <c r="AP10" s="114"/>
      <c r="AQ10" s="5"/>
      <c r="AR10" s="5"/>
      <c r="AS10" s="112"/>
      <c r="AT10" s="5"/>
      <c r="AU10" s="113"/>
      <c r="AV10" s="5"/>
      <c r="AW10" s="5"/>
      <c r="AX10" s="114"/>
    </row>
    <row r="11" spans="1:56" s="61" customFormat="1" ht="35.25" customHeight="1" x14ac:dyDescent="0.25">
      <c r="A11" s="71"/>
      <c r="B11" s="128"/>
      <c r="C11" s="127"/>
      <c r="D11" s="88"/>
      <c r="E11" s="5"/>
      <c r="F11" s="5"/>
      <c r="G11" s="5"/>
      <c r="H11" s="5"/>
      <c r="I11" s="71"/>
      <c r="J11" s="5"/>
      <c r="K11" s="5"/>
      <c r="L11" s="71"/>
      <c r="M11" s="5"/>
      <c r="N11" s="5"/>
      <c r="O11" s="111"/>
      <c r="P11" s="76"/>
      <c r="Q11" s="112"/>
      <c r="R11" s="79"/>
      <c r="S11" s="5"/>
      <c r="T11" s="80"/>
      <c r="U11" s="113"/>
      <c r="V11" s="5"/>
      <c r="W11" s="88"/>
      <c r="X11" s="5"/>
      <c r="Y11" s="5"/>
      <c r="Z11" s="5"/>
      <c r="AA11" s="112"/>
      <c r="AB11" s="5"/>
      <c r="AC11" s="5"/>
      <c r="AD11" s="113"/>
      <c r="AE11" s="5"/>
      <c r="AF11" s="5"/>
      <c r="AG11" s="77"/>
      <c r="AH11" s="5"/>
      <c r="AI11" s="71"/>
      <c r="AJ11" s="112"/>
      <c r="AK11" s="5"/>
      <c r="AL11" s="5"/>
      <c r="AM11" s="113"/>
      <c r="AN11" s="71"/>
      <c r="AO11" s="5"/>
      <c r="AP11" s="114"/>
      <c r="AQ11" s="5"/>
      <c r="AR11" s="5"/>
      <c r="AS11" s="112"/>
      <c r="AT11" s="5"/>
      <c r="AU11" s="113"/>
      <c r="AV11" s="5"/>
      <c r="AW11" s="5"/>
      <c r="AX11" s="114"/>
    </row>
    <row r="12" spans="1:56" s="61" customFormat="1" ht="35.25" customHeight="1" x14ac:dyDescent="0.25">
      <c r="A12" s="71"/>
      <c r="B12" s="128"/>
      <c r="C12" s="127"/>
      <c r="D12" s="88"/>
      <c r="E12" s="5"/>
      <c r="F12" s="5"/>
      <c r="G12" s="5"/>
      <c r="H12" s="5"/>
      <c r="I12" s="71"/>
      <c r="J12" s="5"/>
      <c r="K12" s="5"/>
      <c r="L12" s="71"/>
      <c r="M12" s="5"/>
      <c r="N12" s="5"/>
      <c r="O12" s="111"/>
      <c r="P12" s="76"/>
      <c r="Q12" s="112"/>
      <c r="R12" s="79"/>
      <c r="S12" s="5"/>
      <c r="T12" s="73"/>
      <c r="U12" s="113"/>
      <c r="V12" s="5"/>
      <c r="W12" s="88"/>
      <c r="X12" s="5"/>
      <c r="Y12" s="5"/>
      <c r="Z12" s="5"/>
      <c r="AA12" s="112"/>
      <c r="AB12" s="5"/>
      <c r="AC12" s="5"/>
      <c r="AD12" s="113"/>
      <c r="AE12" s="5"/>
      <c r="AF12" s="5"/>
      <c r="AG12" s="77"/>
      <c r="AH12" s="5"/>
      <c r="AI12" s="71"/>
      <c r="AJ12" s="112"/>
      <c r="AK12" s="5"/>
      <c r="AL12" s="5"/>
      <c r="AM12" s="113"/>
      <c r="AN12" s="71"/>
      <c r="AO12" s="5"/>
      <c r="AP12" s="114"/>
      <c r="AQ12" s="5"/>
      <c r="AR12" s="5"/>
      <c r="AS12" s="112"/>
      <c r="AT12" s="5"/>
      <c r="AU12" s="113"/>
      <c r="AV12" s="5"/>
      <c r="AW12" s="5"/>
      <c r="AX12" s="114"/>
    </row>
    <row r="13" spans="1:56" s="61" customFormat="1" ht="35.25" customHeight="1" x14ac:dyDescent="0.25">
      <c r="A13" s="71"/>
      <c r="B13" s="128"/>
      <c r="C13" s="127"/>
      <c r="D13" s="88"/>
      <c r="E13" s="5"/>
      <c r="F13" s="5"/>
      <c r="G13" s="5"/>
      <c r="H13" s="5"/>
      <c r="I13" s="71"/>
      <c r="J13" s="5"/>
      <c r="K13" s="5"/>
      <c r="L13" s="71"/>
      <c r="M13" s="5"/>
      <c r="N13" s="5"/>
      <c r="O13" s="111"/>
      <c r="P13" s="76"/>
      <c r="Q13" s="112"/>
      <c r="R13" s="79"/>
      <c r="S13" s="5"/>
      <c r="T13" s="73"/>
      <c r="U13" s="113"/>
      <c r="V13" s="5"/>
      <c r="W13" s="88"/>
      <c r="X13" s="5"/>
      <c r="Y13" s="5"/>
      <c r="Z13" s="5"/>
      <c r="AA13" s="112"/>
      <c r="AB13" s="5"/>
      <c r="AC13" s="5"/>
      <c r="AD13" s="113"/>
      <c r="AE13" s="5"/>
      <c r="AF13" s="5"/>
      <c r="AG13" s="77"/>
      <c r="AH13" s="5"/>
      <c r="AI13" s="71"/>
      <c r="AJ13" s="112"/>
      <c r="AK13" s="5"/>
      <c r="AL13" s="5"/>
      <c r="AM13" s="113"/>
      <c r="AN13" s="71"/>
      <c r="AO13" s="5"/>
      <c r="AP13" s="114"/>
      <c r="AQ13" s="5"/>
      <c r="AR13" s="5"/>
      <c r="AS13" s="112"/>
      <c r="AT13" s="5"/>
      <c r="AU13" s="113"/>
      <c r="AV13" s="5"/>
      <c r="AW13" s="5"/>
      <c r="AX13" s="114"/>
    </row>
    <row r="14" spans="1:56" s="61" customFormat="1" ht="35.25" customHeight="1" x14ac:dyDescent="0.25">
      <c r="A14" s="71"/>
      <c r="B14" s="78"/>
      <c r="C14" s="71"/>
      <c r="D14" s="88"/>
      <c r="E14" s="5"/>
      <c r="F14" s="5"/>
      <c r="G14" s="5"/>
      <c r="H14" s="5"/>
      <c r="I14" s="71"/>
      <c r="J14" s="5"/>
      <c r="K14" s="5"/>
      <c r="L14" s="71"/>
      <c r="M14" s="5"/>
      <c r="N14" s="5"/>
      <c r="O14" s="111"/>
      <c r="P14" s="76"/>
      <c r="Q14" s="112"/>
      <c r="R14" s="79"/>
      <c r="S14" s="5"/>
      <c r="T14" s="73"/>
      <c r="U14" s="113"/>
      <c r="V14" s="5"/>
      <c r="W14" s="88"/>
      <c r="X14" s="5"/>
      <c r="Y14" s="5"/>
      <c r="Z14" s="5"/>
      <c r="AA14" s="112"/>
      <c r="AB14" s="5"/>
      <c r="AC14" s="5"/>
      <c r="AD14" s="113"/>
      <c r="AE14" s="5"/>
      <c r="AF14" s="5"/>
      <c r="AG14" s="77"/>
      <c r="AH14" s="5"/>
      <c r="AI14" s="71"/>
      <c r="AJ14" s="112"/>
      <c r="AK14" s="5"/>
      <c r="AL14" s="5"/>
      <c r="AM14" s="113"/>
      <c r="AN14" s="71"/>
      <c r="AO14" s="5"/>
      <c r="AP14" s="114"/>
      <c r="AQ14" s="5"/>
      <c r="AR14" s="5"/>
      <c r="AS14" s="112"/>
      <c r="AT14" s="5"/>
      <c r="AU14" s="113"/>
      <c r="AV14" s="5"/>
      <c r="AW14" s="5"/>
      <c r="AX14" s="114"/>
    </row>
    <row r="15" spans="1:56" s="61" customFormat="1" ht="35.25" customHeight="1" x14ac:dyDescent="0.25">
      <c r="A15" s="71"/>
      <c r="B15" s="78"/>
      <c r="C15" s="71"/>
      <c r="D15" s="88"/>
      <c r="E15" s="5"/>
      <c r="F15" s="5"/>
      <c r="G15" s="5"/>
      <c r="H15" s="5"/>
      <c r="I15" s="71"/>
      <c r="J15" s="5"/>
      <c r="K15" s="5"/>
      <c r="L15" s="71"/>
      <c r="M15" s="5"/>
      <c r="N15" s="5"/>
      <c r="O15" s="111"/>
      <c r="P15" s="76"/>
      <c r="Q15" s="112"/>
      <c r="R15" s="79"/>
      <c r="S15" s="5"/>
      <c r="T15" s="73"/>
      <c r="U15" s="113"/>
      <c r="V15" s="5"/>
      <c r="W15" s="88"/>
      <c r="X15" s="5"/>
      <c r="Y15" s="5"/>
      <c r="Z15" s="5"/>
      <c r="AA15" s="112"/>
      <c r="AB15" s="5"/>
      <c r="AC15" s="5"/>
      <c r="AD15" s="113"/>
      <c r="AE15" s="5"/>
      <c r="AF15" s="5"/>
      <c r="AG15" s="77"/>
      <c r="AH15" s="5"/>
      <c r="AI15" s="71"/>
      <c r="AJ15" s="112"/>
      <c r="AK15" s="5"/>
      <c r="AL15" s="5"/>
      <c r="AM15" s="113"/>
      <c r="AN15" s="71"/>
      <c r="AO15" s="5"/>
      <c r="AP15" s="114"/>
      <c r="AQ15" s="5"/>
      <c r="AR15" s="5"/>
      <c r="AS15" s="112"/>
      <c r="AT15" s="5"/>
      <c r="AU15" s="113"/>
      <c r="AV15" s="5"/>
      <c r="AW15" s="5"/>
      <c r="AX15" s="114"/>
    </row>
    <row r="16" spans="1:56" s="61" customFormat="1" ht="35.25" customHeight="1" x14ac:dyDescent="0.25">
      <c r="A16" s="71"/>
      <c r="B16" s="78"/>
      <c r="C16" s="71"/>
      <c r="D16" s="88"/>
      <c r="E16" s="5"/>
      <c r="F16" s="5"/>
      <c r="G16" s="5"/>
      <c r="H16" s="5"/>
      <c r="I16" s="71"/>
      <c r="J16" s="5"/>
      <c r="K16" s="5"/>
      <c r="L16" s="71"/>
      <c r="M16" s="5"/>
      <c r="N16" s="5"/>
      <c r="O16" s="111"/>
      <c r="P16" s="76"/>
      <c r="Q16" s="112"/>
      <c r="R16" s="79"/>
      <c r="S16" s="5"/>
      <c r="T16" s="80"/>
      <c r="U16" s="113"/>
      <c r="V16" s="5"/>
      <c r="W16" s="88"/>
      <c r="X16" s="5"/>
      <c r="Y16" s="5"/>
      <c r="Z16" s="5"/>
      <c r="AA16" s="112"/>
      <c r="AB16" s="5"/>
      <c r="AC16" s="5"/>
      <c r="AD16" s="113"/>
      <c r="AE16" s="5"/>
      <c r="AF16" s="5"/>
      <c r="AG16" s="77"/>
      <c r="AH16" s="5"/>
      <c r="AI16" s="71"/>
      <c r="AJ16" s="112"/>
      <c r="AK16" s="5"/>
      <c r="AL16" s="5"/>
      <c r="AM16" s="113"/>
      <c r="AN16" s="71"/>
      <c r="AO16" s="5"/>
      <c r="AP16" s="114"/>
      <c r="AQ16" s="5"/>
      <c r="AR16" s="5"/>
      <c r="AS16" s="112"/>
      <c r="AT16" s="5"/>
      <c r="AU16" s="113"/>
      <c r="AV16" s="5"/>
      <c r="AW16" s="5"/>
      <c r="AX16" s="114"/>
    </row>
    <row r="17" spans="1:50" s="61" customFormat="1" ht="35.25" customHeight="1" x14ac:dyDescent="0.25">
      <c r="A17" s="71"/>
      <c r="B17" s="78"/>
      <c r="C17" s="71"/>
      <c r="D17" s="88"/>
      <c r="E17" s="5"/>
      <c r="F17" s="5"/>
      <c r="G17" s="5"/>
      <c r="H17" s="5"/>
      <c r="I17" s="71"/>
      <c r="J17" s="5"/>
      <c r="K17" s="5"/>
      <c r="L17" s="71"/>
      <c r="M17" s="5"/>
      <c r="N17" s="5"/>
      <c r="O17" s="111"/>
      <c r="P17" s="76"/>
      <c r="Q17" s="112"/>
      <c r="R17" s="79"/>
      <c r="S17" s="5"/>
      <c r="T17" s="80"/>
      <c r="U17" s="113"/>
      <c r="V17" s="5"/>
      <c r="W17" s="88"/>
      <c r="X17" s="5"/>
      <c r="Y17" s="5"/>
      <c r="Z17" s="5"/>
      <c r="AA17" s="112"/>
      <c r="AB17" s="5"/>
      <c r="AC17" s="5"/>
      <c r="AD17" s="113"/>
      <c r="AE17" s="5"/>
      <c r="AF17" s="5"/>
      <c r="AG17" s="77"/>
      <c r="AH17" s="5"/>
      <c r="AI17" s="71"/>
      <c r="AJ17" s="112"/>
      <c r="AK17" s="5"/>
      <c r="AL17" s="5"/>
      <c r="AM17" s="113"/>
      <c r="AN17" s="71"/>
      <c r="AO17" s="5"/>
      <c r="AP17" s="114"/>
      <c r="AQ17" s="5"/>
      <c r="AR17" s="5"/>
      <c r="AS17" s="112"/>
      <c r="AT17" s="5"/>
      <c r="AU17" s="113"/>
      <c r="AV17" s="5"/>
      <c r="AW17" s="5"/>
      <c r="AX17" s="114"/>
    </row>
    <row r="18" spans="1:50" s="61" customFormat="1" ht="35.25" customHeight="1" x14ac:dyDescent="0.25">
      <c r="A18" s="71"/>
      <c r="B18" s="78"/>
      <c r="C18" s="71"/>
      <c r="D18" s="88"/>
      <c r="E18" s="5"/>
      <c r="F18" s="5"/>
      <c r="G18" s="5"/>
      <c r="H18" s="5"/>
      <c r="I18" s="71"/>
      <c r="J18" s="5"/>
      <c r="K18" s="5"/>
      <c r="L18" s="71"/>
      <c r="M18" s="5"/>
      <c r="N18" s="5"/>
      <c r="O18" s="111"/>
      <c r="P18" s="76"/>
      <c r="Q18" s="112"/>
      <c r="R18" s="79"/>
      <c r="S18" s="5"/>
      <c r="T18" s="71"/>
      <c r="U18" s="113"/>
      <c r="V18" s="5"/>
      <c r="W18" s="88"/>
      <c r="X18" s="5"/>
      <c r="Y18" s="5"/>
      <c r="Z18" s="5"/>
      <c r="AA18" s="112"/>
      <c r="AB18" s="5"/>
      <c r="AC18" s="5"/>
      <c r="AD18" s="113"/>
      <c r="AE18" s="5"/>
      <c r="AF18" s="5"/>
      <c r="AG18" s="77"/>
      <c r="AH18" s="5"/>
      <c r="AI18" s="71"/>
      <c r="AJ18" s="112"/>
      <c r="AK18" s="5"/>
      <c r="AL18" s="5"/>
      <c r="AM18" s="113"/>
      <c r="AN18" s="71"/>
      <c r="AO18" s="5"/>
      <c r="AP18" s="114"/>
      <c r="AQ18" s="5"/>
      <c r="AR18" s="5"/>
      <c r="AS18" s="112"/>
      <c r="AT18" s="5"/>
      <c r="AU18" s="113"/>
      <c r="AV18" s="5"/>
      <c r="AW18" s="5"/>
      <c r="AX18" s="114"/>
    </row>
    <row r="19" spans="1:50" s="61" customFormat="1" ht="35.25" customHeight="1" x14ac:dyDescent="0.25">
      <c r="A19" s="71"/>
      <c r="B19" s="78"/>
      <c r="C19" s="71"/>
      <c r="D19" s="88"/>
      <c r="E19" s="5"/>
      <c r="F19" s="5"/>
      <c r="G19" s="5"/>
      <c r="H19" s="5"/>
      <c r="I19" s="71"/>
      <c r="J19" s="5"/>
      <c r="K19" s="5"/>
      <c r="L19" s="71"/>
      <c r="M19" s="5"/>
      <c r="N19" s="5"/>
      <c r="O19" s="111"/>
      <c r="P19" s="76"/>
      <c r="Q19" s="112"/>
      <c r="R19" s="79"/>
      <c r="S19" s="5"/>
      <c r="T19" s="71"/>
      <c r="U19" s="113"/>
      <c r="V19" s="5"/>
      <c r="W19" s="88"/>
      <c r="X19" s="5"/>
      <c r="Y19" s="5"/>
      <c r="Z19" s="5"/>
      <c r="AA19" s="112"/>
      <c r="AB19" s="5"/>
      <c r="AC19" s="5"/>
      <c r="AD19" s="113"/>
      <c r="AE19" s="5"/>
      <c r="AF19" s="5"/>
      <c r="AG19" s="77"/>
      <c r="AH19" s="5"/>
      <c r="AI19" s="71"/>
      <c r="AJ19" s="112"/>
      <c r="AK19" s="5"/>
      <c r="AL19" s="5"/>
      <c r="AM19" s="113"/>
      <c r="AN19" s="71"/>
      <c r="AO19" s="5"/>
      <c r="AP19" s="114"/>
      <c r="AQ19" s="5"/>
      <c r="AR19" s="5"/>
      <c r="AS19" s="112"/>
      <c r="AT19" s="5"/>
      <c r="AU19" s="113"/>
      <c r="AV19" s="5"/>
      <c r="AW19" s="5"/>
      <c r="AX19" s="114"/>
    </row>
    <row r="20" spans="1:50" s="61" customFormat="1" ht="35.25" customHeight="1" x14ac:dyDescent="0.25">
      <c r="A20" s="71"/>
      <c r="B20" s="78"/>
      <c r="C20" s="71"/>
      <c r="D20" s="88"/>
      <c r="E20" s="5"/>
      <c r="F20" s="5"/>
      <c r="G20" s="5"/>
      <c r="H20" s="5"/>
      <c r="I20" s="71"/>
      <c r="J20" s="5"/>
      <c r="K20" s="5"/>
      <c r="L20" s="71"/>
      <c r="M20" s="5"/>
      <c r="N20" s="5"/>
      <c r="O20" s="111"/>
      <c r="P20" s="76"/>
      <c r="Q20" s="112"/>
      <c r="R20" s="79"/>
      <c r="S20" s="5"/>
      <c r="T20" s="71"/>
      <c r="U20" s="113"/>
      <c r="V20" s="5"/>
      <c r="W20" s="88"/>
      <c r="X20" s="5"/>
      <c r="Y20" s="5"/>
      <c r="Z20" s="5"/>
      <c r="AA20" s="112"/>
      <c r="AB20" s="5"/>
      <c r="AC20" s="5"/>
      <c r="AD20" s="113"/>
      <c r="AE20" s="5"/>
      <c r="AF20" s="5"/>
      <c r="AG20" s="77"/>
      <c r="AH20" s="5"/>
      <c r="AI20" s="71"/>
      <c r="AJ20" s="5"/>
      <c r="AK20" s="5"/>
      <c r="AL20" s="5"/>
      <c r="AM20" s="113"/>
      <c r="AN20" s="71"/>
      <c r="AO20" s="5"/>
      <c r="AP20" s="114"/>
      <c r="AQ20" s="5"/>
      <c r="AR20" s="5"/>
      <c r="AS20" s="5"/>
      <c r="AT20" s="5"/>
      <c r="AU20" s="113"/>
      <c r="AV20" s="5"/>
      <c r="AW20" s="5"/>
      <c r="AX20" s="114"/>
    </row>
    <row r="21" spans="1:50" s="61" customFormat="1" ht="35.25" customHeight="1" x14ac:dyDescent="0.25">
      <c r="A21" s="71"/>
      <c r="B21" s="78"/>
      <c r="C21" s="71"/>
      <c r="D21" s="88"/>
      <c r="E21" s="5"/>
      <c r="F21" s="5"/>
      <c r="G21" s="5"/>
      <c r="H21" s="5"/>
      <c r="I21" s="71"/>
      <c r="J21" s="5"/>
      <c r="K21" s="5"/>
      <c r="L21" s="71"/>
      <c r="M21" s="5"/>
      <c r="N21" s="5"/>
      <c r="O21" s="111"/>
      <c r="P21" s="76"/>
      <c r="Q21" s="112"/>
      <c r="R21" s="79"/>
      <c r="S21" s="5"/>
      <c r="T21" s="71"/>
      <c r="U21" s="113"/>
      <c r="V21" s="5"/>
      <c r="W21" s="88"/>
      <c r="X21" s="5"/>
      <c r="Y21" s="5"/>
      <c r="Z21" s="5"/>
      <c r="AA21" s="112"/>
      <c r="AB21" s="5"/>
      <c r="AC21" s="5"/>
      <c r="AD21" s="113"/>
      <c r="AE21" s="5"/>
      <c r="AF21" s="5"/>
      <c r="AG21" s="77"/>
      <c r="AH21" s="5"/>
      <c r="AI21" s="71"/>
      <c r="AJ21" s="112"/>
      <c r="AK21" s="5"/>
      <c r="AL21" s="5"/>
      <c r="AM21" s="113"/>
      <c r="AN21" s="71"/>
      <c r="AO21" s="5"/>
      <c r="AP21" s="114"/>
      <c r="AQ21" s="5"/>
      <c r="AR21" s="5"/>
      <c r="AS21" s="112"/>
      <c r="AT21" s="5"/>
      <c r="AU21" s="113"/>
      <c r="AV21" s="5"/>
      <c r="AW21" s="5"/>
      <c r="AX21" s="114"/>
    </row>
    <row r="22" spans="1:50" s="61" customFormat="1" ht="35.25" customHeight="1" x14ac:dyDescent="0.25">
      <c r="A22" s="71"/>
      <c r="B22" s="78"/>
      <c r="C22" s="71"/>
      <c r="D22" s="88"/>
      <c r="E22" s="5"/>
      <c r="F22" s="5"/>
      <c r="G22" s="5"/>
      <c r="H22" s="5"/>
      <c r="I22" s="71"/>
      <c r="J22" s="5"/>
      <c r="K22" s="5"/>
      <c r="L22" s="71"/>
      <c r="M22" s="5"/>
      <c r="N22" s="5"/>
      <c r="O22" s="111"/>
      <c r="P22" s="76"/>
      <c r="Q22" s="112"/>
      <c r="R22" s="79"/>
      <c r="S22" s="5"/>
      <c r="T22" s="71"/>
      <c r="U22" s="113"/>
      <c r="V22" s="5"/>
      <c r="W22" s="88"/>
      <c r="X22" s="5"/>
      <c r="Y22" s="5"/>
      <c r="Z22" s="5"/>
      <c r="AA22" s="112"/>
      <c r="AB22" s="5"/>
      <c r="AC22" s="5"/>
      <c r="AD22" s="113"/>
      <c r="AE22" s="5"/>
      <c r="AF22" s="5"/>
      <c r="AG22" s="77"/>
      <c r="AH22" s="5"/>
      <c r="AI22" s="71"/>
      <c r="AJ22" s="112"/>
      <c r="AK22" s="5"/>
      <c r="AL22" s="5"/>
      <c r="AM22" s="113"/>
      <c r="AN22" s="71"/>
      <c r="AO22" s="5"/>
      <c r="AP22" s="114"/>
      <c r="AQ22" s="5"/>
      <c r="AR22" s="5"/>
      <c r="AS22" s="112"/>
      <c r="AT22" s="5"/>
      <c r="AU22" s="113"/>
      <c r="AV22" s="5"/>
      <c r="AW22" s="5"/>
      <c r="AX22" s="114"/>
    </row>
    <row r="23" spans="1:50" s="61" customFormat="1" ht="35.25" customHeight="1" x14ac:dyDescent="0.25">
      <c r="A23" s="71"/>
      <c r="B23" s="78"/>
      <c r="C23" s="71"/>
      <c r="D23" s="88"/>
      <c r="E23" s="5"/>
      <c r="F23" s="5"/>
      <c r="G23" s="5"/>
      <c r="H23" s="5"/>
      <c r="I23" s="71"/>
      <c r="J23" s="5"/>
      <c r="K23" s="5"/>
      <c r="L23" s="71"/>
      <c r="M23" s="5"/>
      <c r="N23" s="5"/>
      <c r="O23" s="111"/>
      <c r="P23" s="76"/>
      <c r="Q23" s="112"/>
      <c r="R23" s="79"/>
      <c r="S23" s="5"/>
      <c r="T23" s="71"/>
      <c r="U23" s="113"/>
      <c r="V23" s="5"/>
      <c r="W23" s="88"/>
      <c r="X23" s="5"/>
      <c r="Y23" s="5"/>
      <c r="Z23" s="5"/>
      <c r="AA23" s="112"/>
      <c r="AB23" s="5"/>
      <c r="AC23" s="5"/>
      <c r="AD23" s="113"/>
      <c r="AE23" s="5"/>
      <c r="AF23" s="5"/>
      <c r="AG23" s="77"/>
      <c r="AH23" s="5"/>
      <c r="AI23" s="71"/>
      <c r="AJ23" s="112"/>
      <c r="AK23" s="5"/>
      <c r="AL23" s="5"/>
      <c r="AM23" s="113"/>
      <c r="AN23" s="71"/>
      <c r="AO23" s="5"/>
      <c r="AP23" s="114"/>
      <c r="AQ23" s="5"/>
      <c r="AR23" s="5"/>
      <c r="AS23" s="112"/>
      <c r="AT23" s="5"/>
      <c r="AU23" s="113"/>
      <c r="AV23" s="5"/>
      <c r="AW23" s="5"/>
      <c r="AX23" s="114"/>
    </row>
    <row r="24" spans="1:50" s="61" customFormat="1" ht="35.25" customHeight="1" x14ac:dyDescent="0.25">
      <c r="A24" s="71"/>
      <c r="B24" s="78"/>
      <c r="C24" s="71"/>
      <c r="D24" s="88"/>
      <c r="E24" s="5"/>
      <c r="F24" s="5"/>
      <c r="G24" s="5"/>
      <c r="H24" s="5"/>
      <c r="I24" s="71"/>
      <c r="J24" s="5"/>
      <c r="K24" s="5"/>
      <c r="L24" s="71"/>
      <c r="M24" s="5"/>
      <c r="N24" s="5"/>
      <c r="O24" s="111"/>
      <c r="P24" s="76"/>
      <c r="Q24" s="112"/>
      <c r="R24" s="79"/>
      <c r="S24" s="5"/>
      <c r="T24" s="71"/>
      <c r="U24" s="113"/>
      <c r="V24" s="5"/>
      <c r="W24" s="88"/>
      <c r="X24" s="5"/>
      <c r="Y24" s="5"/>
      <c r="Z24" s="5"/>
      <c r="AA24" s="112"/>
      <c r="AB24" s="5"/>
      <c r="AC24" s="5"/>
      <c r="AD24" s="113"/>
      <c r="AE24" s="5"/>
      <c r="AF24" s="5"/>
      <c r="AG24" s="77"/>
      <c r="AH24" s="5"/>
      <c r="AI24" s="71"/>
      <c r="AJ24" s="112"/>
      <c r="AK24" s="5"/>
      <c r="AL24" s="5"/>
      <c r="AM24" s="113"/>
      <c r="AN24" s="71"/>
      <c r="AO24" s="5"/>
      <c r="AP24" s="114"/>
      <c r="AQ24" s="5"/>
      <c r="AR24" s="5"/>
      <c r="AS24" s="112"/>
      <c r="AT24" s="5"/>
      <c r="AU24" s="113"/>
      <c r="AV24" s="5"/>
      <c r="AW24" s="5"/>
      <c r="AX24" s="114"/>
    </row>
    <row r="25" spans="1:50" s="61" customFormat="1" ht="35.25" customHeight="1" x14ac:dyDescent="0.25">
      <c r="A25" s="71"/>
      <c r="B25" s="78"/>
      <c r="C25" s="71"/>
      <c r="D25" s="88"/>
      <c r="E25" s="5"/>
      <c r="F25" s="5"/>
      <c r="G25" s="5"/>
      <c r="H25" s="5"/>
      <c r="I25" s="71"/>
      <c r="J25" s="5"/>
      <c r="K25" s="5"/>
      <c r="L25" s="71"/>
      <c r="M25" s="5"/>
      <c r="N25" s="5"/>
      <c r="O25" s="111"/>
      <c r="P25" s="74"/>
      <c r="Q25" s="115"/>
      <c r="R25" s="79"/>
      <c r="S25" s="5"/>
      <c r="T25" s="71"/>
      <c r="U25" s="113"/>
      <c r="V25" s="5"/>
      <c r="W25" s="88"/>
      <c r="X25" s="5"/>
      <c r="Y25" s="5"/>
      <c r="Z25" s="5"/>
      <c r="AA25" s="115"/>
      <c r="AB25" s="5"/>
      <c r="AC25" s="5"/>
      <c r="AD25" s="113"/>
      <c r="AE25" s="5"/>
      <c r="AF25" s="5"/>
      <c r="AG25" s="75"/>
      <c r="AH25" s="5"/>
      <c r="AI25" s="71"/>
      <c r="AJ25" s="115"/>
      <c r="AK25" s="5"/>
      <c r="AL25" s="5"/>
      <c r="AM25" s="113"/>
      <c r="AN25" s="71"/>
      <c r="AO25" s="5"/>
      <c r="AP25" s="116"/>
      <c r="AQ25" s="5"/>
      <c r="AR25" s="5"/>
      <c r="AS25" s="115"/>
      <c r="AT25" s="5"/>
      <c r="AU25" s="113"/>
      <c r="AV25" s="5"/>
      <c r="AW25" s="5"/>
      <c r="AX25" s="116"/>
    </row>
    <row r="26" spans="1:50" s="61" customFormat="1" ht="35.25" customHeight="1" x14ac:dyDescent="0.25">
      <c r="A26" s="71"/>
      <c r="B26" s="78"/>
      <c r="C26" s="71"/>
      <c r="D26" s="88"/>
      <c r="E26" s="5"/>
      <c r="F26" s="5"/>
      <c r="G26" s="5"/>
      <c r="H26" s="5"/>
      <c r="I26" s="71"/>
      <c r="J26" s="5"/>
      <c r="K26" s="5"/>
      <c r="L26" s="71"/>
      <c r="M26" s="5"/>
      <c r="N26" s="5"/>
      <c r="O26" s="111"/>
      <c r="P26" s="72"/>
      <c r="Q26" s="118"/>
      <c r="R26" s="79"/>
      <c r="S26" s="5"/>
      <c r="T26" s="71"/>
      <c r="U26" s="113"/>
      <c r="V26" s="5"/>
      <c r="W26" s="88"/>
      <c r="X26" s="5"/>
      <c r="Y26" s="5"/>
      <c r="Z26" s="5"/>
      <c r="AA26" s="118"/>
      <c r="AB26" s="5"/>
      <c r="AC26" s="5"/>
      <c r="AD26" s="113"/>
      <c r="AE26" s="5"/>
      <c r="AF26" s="5"/>
      <c r="AG26" s="71"/>
      <c r="AH26" s="5"/>
      <c r="AI26" s="71"/>
      <c r="AJ26" s="118"/>
      <c r="AK26" s="5"/>
      <c r="AL26" s="5"/>
      <c r="AM26" s="113"/>
      <c r="AN26" s="71"/>
      <c r="AO26" s="5"/>
      <c r="AP26" s="5"/>
      <c r="AQ26" s="5"/>
      <c r="AR26" s="5"/>
      <c r="AS26" s="118"/>
      <c r="AT26" s="5"/>
      <c r="AU26" s="113"/>
      <c r="AV26" s="5"/>
      <c r="AW26" s="5"/>
      <c r="AX26" s="5"/>
    </row>
    <row r="27" spans="1:50" s="61" customFormat="1" ht="35.25" customHeight="1" x14ac:dyDescent="0.25">
      <c r="A27" s="71"/>
      <c r="B27" s="78"/>
      <c r="C27" s="71"/>
      <c r="D27" s="88"/>
      <c r="E27" s="5"/>
      <c r="F27" s="5"/>
      <c r="G27" s="5"/>
      <c r="H27" s="5"/>
      <c r="I27" s="71"/>
      <c r="J27" s="5"/>
      <c r="K27" s="5"/>
      <c r="L27" s="71"/>
      <c r="M27" s="5"/>
      <c r="N27" s="5"/>
      <c r="O27" s="111"/>
      <c r="P27" s="72"/>
      <c r="Q27" s="118"/>
      <c r="R27" s="79"/>
      <c r="S27" s="5"/>
      <c r="T27" s="71"/>
      <c r="U27" s="113"/>
      <c r="V27" s="5"/>
      <c r="W27" s="88"/>
      <c r="X27" s="5"/>
      <c r="Y27" s="5"/>
      <c r="Z27" s="5"/>
      <c r="AA27" s="118"/>
      <c r="AB27" s="5"/>
      <c r="AC27" s="5"/>
      <c r="AD27" s="113"/>
      <c r="AE27" s="5"/>
      <c r="AF27" s="5"/>
      <c r="AG27" s="71"/>
      <c r="AH27" s="5"/>
      <c r="AI27" s="71"/>
      <c r="AJ27" s="118"/>
      <c r="AK27" s="5"/>
      <c r="AL27" s="5"/>
      <c r="AM27" s="113"/>
      <c r="AN27" s="71"/>
      <c r="AO27" s="5"/>
      <c r="AP27" s="5"/>
      <c r="AQ27" s="5"/>
      <c r="AR27" s="5"/>
      <c r="AS27" s="118"/>
      <c r="AT27" s="5"/>
      <c r="AU27" s="113"/>
      <c r="AV27" s="5"/>
      <c r="AW27" s="5"/>
      <c r="AX27" s="5"/>
    </row>
    <row r="28" spans="1:50" s="61" customFormat="1" ht="35.25" customHeight="1" x14ac:dyDescent="0.25">
      <c r="A28" s="71"/>
      <c r="B28" s="78"/>
      <c r="C28" s="71"/>
      <c r="D28" s="88"/>
      <c r="E28" s="5"/>
      <c r="F28" s="5"/>
      <c r="G28" s="5"/>
      <c r="H28" s="5"/>
      <c r="I28" s="71"/>
      <c r="J28" s="5"/>
      <c r="K28" s="5"/>
      <c r="L28" s="71"/>
      <c r="M28" s="5"/>
      <c r="N28" s="5"/>
      <c r="O28" s="111"/>
      <c r="P28" s="72"/>
      <c r="Q28" s="118"/>
      <c r="R28" s="79"/>
      <c r="S28" s="5"/>
      <c r="T28" s="71"/>
      <c r="U28" s="113"/>
      <c r="V28" s="5"/>
      <c r="W28" s="88"/>
      <c r="X28" s="5"/>
      <c r="Y28" s="5"/>
      <c r="Z28" s="5"/>
      <c r="AA28" s="118"/>
      <c r="AB28" s="5"/>
      <c r="AC28" s="5"/>
      <c r="AD28" s="113"/>
      <c r="AE28" s="5"/>
      <c r="AF28" s="5"/>
      <c r="AG28" s="71"/>
      <c r="AH28" s="5"/>
      <c r="AI28" s="71"/>
      <c r="AJ28" s="118"/>
      <c r="AK28" s="5"/>
      <c r="AL28" s="5"/>
      <c r="AM28" s="113"/>
      <c r="AN28" s="71"/>
      <c r="AO28" s="5"/>
      <c r="AP28" s="5"/>
      <c r="AQ28" s="5"/>
      <c r="AR28" s="5"/>
      <c r="AS28" s="118"/>
      <c r="AT28" s="5"/>
      <c r="AU28" s="113"/>
      <c r="AV28" s="5"/>
      <c r="AW28" s="5"/>
      <c r="AX28" s="5"/>
    </row>
    <row r="29" spans="1:50" s="61" customFormat="1" ht="35.25" customHeight="1" x14ac:dyDescent="0.25">
      <c r="A29" s="71"/>
      <c r="B29" s="78"/>
      <c r="C29" s="71"/>
      <c r="D29" s="88"/>
      <c r="E29" s="5"/>
      <c r="F29" s="5"/>
      <c r="G29" s="5"/>
      <c r="H29" s="5"/>
      <c r="I29" s="71"/>
      <c r="J29" s="5"/>
      <c r="K29" s="5"/>
      <c r="L29" s="71"/>
      <c r="M29" s="5"/>
      <c r="N29" s="5"/>
      <c r="O29" s="111"/>
      <c r="P29" s="72"/>
      <c r="Q29" s="118"/>
      <c r="R29" s="79"/>
      <c r="S29" s="5"/>
      <c r="T29" s="71"/>
      <c r="U29" s="113"/>
      <c r="V29" s="5"/>
      <c r="W29" s="88"/>
      <c r="X29" s="5"/>
      <c r="Y29" s="5"/>
      <c r="Z29" s="5"/>
      <c r="AA29" s="118"/>
      <c r="AB29" s="5"/>
      <c r="AC29" s="5"/>
      <c r="AD29" s="113"/>
      <c r="AE29" s="5"/>
      <c r="AF29" s="5"/>
      <c r="AG29" s="71"/>
      <c r="AH29" s="5"/>
      <c r="AI29" s="71"/>
      <c r="AJ29" s="118"/>
      <c r="AK29" s="5"/>
      <c r="AL29" s="5"/>
      <c r="AM29" s="113"/>
      <c r="AN29" s="71"/>
      <c r="AO29" s="5"/>
      <c r="AP29" s="5"/>
      <c r="AQ29" s="5"/>
      <c r="AR29" s="5"/>
      <c r="AS29" s="118"/>
      <c r="AT29" s="5"/>
      <c r="AU29" s="113"/>
      <c r="AV29" s="5"/>
      <c r="AW29" s="5"/>
      <c r="AX29" s="5"/>
    </row>
    <row r="30" spans="1:50" s="61" customFormat="1" ht="35.25" customHeight="1" x14ac:dyDescent="0.25">
      <c r="A30" s="71"/>
      <c r="B30" s="78"/>
      <c r="C30" s="71"/>
      <c r="D30" s="88"/>
      <c r="E30" s="5"/>
      <c r="F30" s="5"/>
      <c r="G30" s="5"/>
      <c r="H30" s="5"/>
      <c r="I30" s="71"/>
      <c r="J30" s="5"/>
      <c r="K30" s="5"/>
      <c r="L30" s="71"/>
      <c r="M30" s="5"/>
      <c r="N30" s="5"/>
      <c r="O30" s="111"/>
      <c r="P30" s="72"/>
      <c r="Q30" s="118"/>
      <c r="R30" s="79"/>
      <c r="S30" s="5"/>
      <c r="T30" s="71"/>
      <c r="U30" s="113"/>
      <c r="V30" s="5"/>
      <c r="W30" s="88"/>
      <c r="X30" s="5"/>
      <c r="Y30" s="5"/>
      <c r="Z30" s="5"/>
      <c r="AA30" s="118"/>
      <c r="AB30" s="5"/>
      <c r="AC30" s="5"/>
      <c r="AD30" s="113"/>
      <c r="AE30" s="5"/>
      <c r="AF30" s="5"/>
      <c r="AG30" s="71"/>
      <c r="AH30" s="5"/>
      <c r="AI30" s="71"/>
      <c r="AJ30" s="118"/>
      <c r="AK30" s="5"/>
      <c r="AL30" s="5"/>
      <c r="AM30" s="113"/>
      <c r="AN30" s="71"/>
      <c r="AO30" s="5"/>
      <c r="AP30" s="5"/>
      <c r="AQ30" s="5"/>
      <c r="AR30" s="5"/>
      <c r="AS30" s="118"/>
      <c r="AT30" s="5"/>
      <c r="AU30" s="113"/>
      <c r="AV30" s="5"/>
      <c r="AW30" s="5"/>
      <c r="AX30" s="5"/>
    </row>
    <row r="31" spans="1:50" s="61" customFormat="1" ht="35.25" customHeight="1" x14ac:dyDescent="0.25">
      <c r="A31" s="71"/>
      <c r="B31" s="78"/>
      <c r="C31" s="71"/>
      <c r="D31" s="88"/>
      <c r="E31" s="5"/>
      <c r="F31" s="5"/>
      <c r="G31" s="5"/>
      <c r="H31" s="5"/>
      <c r="I31" s="71"/>
      <c r="J31" s="5"/>
      <c r="K31" s="5"/>
      <c r="L31" s="71"/>
      <c r="M31" s="5"/>
      <c r="N31" s="5"/>
      <c r="O31" s="111"/>
      <c r="P31" s="72"/>
      <c r="Q31" s="118"/>
      <c r="R31" s="79"/>
      <c r="S31" s="5"/>
      <c r="T31" s="71"/>
      <c r="U31" s="113"/>
      <c r="V31" s="5"/>
      <c r="W31" s="88"/>
      <c r="X31" s="5"/>
      <c r="Y31" s="5"/>
      <c r="Z31" s="5"/>
      <c r="AA31" s="118"/>
      <c r="AB31" s="5"/>
      <c r="AC31" s="5"/>
      <c r="AD31" s="113"/>
      <c r="AE31" s="5"/>
      <c r="AF31" s="5"/>
      <c r="AG31" s="71"/>
      <c r="AH31" s="5"/>
      <c r="AI31" s="71"/>
      <c r="AJ31" s="118"/>
      <c r="AK31" s="5"/>
      <c r="AL31" s="5"/>
      <c r="AM31" s="113"/>
      <c r="AN31" s="71"/>
      <c r="AO31" s="5"/>
      <c r="AP31" s="5"/>
      <c r="AQ31" s="5"/>
      <c r="AR31" s="5"/>
      <c r="AS31" s="118"/>
      <c r="AT31" s="5"/>
      <c r="AU31" s="113"/>
      <c r="AV31" s="5"/>
      <c r="AW31" s="5"/>
      <c r="AX31" s="5"/>
    </row>
    <row r="32" spans="1:50" s="61" customFormat="1" ht="35.25" customHeight="1" x14ac:dyDescent="0.25">
      <c r="A32" s="71"/>
      <c r="B32" s="78"/>
      <c r="C32" s="71"/>
      <c r="D32" s="88"/>
      <c r="E32" s="5"/>
      <c r="F32" s="5"/>
      <c r="G32" s="5"/>
      <c r="H32" s="5"/>
      <c r="I32" s="71"/>
      <c r="J32" s="5"/>
      <c r="K32" s="5"/>
      <c r="L32" s="71"/>
      <c r="M32" s="5"/>
      <c r="N32" s="5"/>
      <c r="O32" s="111"/>
      <c r="P32" s="72"/>
      <c r="Q32" s="118"/>
      <c r="R32" s="79"/>
      <c r="S32" s="5"/>
      <c r="T32" s="71"/>
      <c r="U32" s="113"/>
      <c r="V32" s="5"/>
      <c r="W32" s="88"/>
      <c r="X32" s="5"/>
      <c r="Y32" s="5"/>
      <c r="Z32" s="5"/>
      <c r="AA32" s="118"/>
      <c r="AB32" s="5"/>
      <c r="AC32" s="5"/>
      <c r="AD32" s="113"/>
      <c r="AE32" s="5"/>
      <c r="AF32" s="5"/>
      <c r="AG32" s="71"/>
      <c r="AH32" s="5"/>
      <c r="AI32" s="71"/>
      <c r="AJ32" s="118"/>
      <c r="AK32" s="5"/>
      <c r="AL32" s="5"/>
      <c r="AM32" s="113"/>
      <c r="AN32" s="5"/>
      <c r="AO32" s="5"/>
      <c r="AP32" s="5"/>
      <c r="AQ32" s="5"/>
      <c r="AR32" s="5"/>
      <c r="AS32" s="118"/>
      <c r="AT32" s="5"/>
      <c r="AU32" s="113"/>
      <c r="AV32" s="5"/>
      <c r="AW32" s="5"/>
      <c r="AX32" s="5"/>
    </row>
    <row r="33" spans="1:50" s="61" customFormat="1" ht="35.25" customHeight="1" x14ac:dyDescent="0.25">
      <c r="A33" s="71"/>
      <c r="B33" s="78"/>
      <c r="C33" s="71"/>
      <c r="D33" s="88"/>
      <c r="E33" s="5"/>
      <c r="F33" s="5"/>
      <c r="G33" s="5"/>
      <c r="H33" s="5"/>
      <c r="I33" s="71"/>
      <c r="J33" s="5"/>
      <c r="K33" s="5"/>
      <c r="L33" s="71"/>
      <c r="M33" s="5"/>
      <c r="N33" s="5"/>
      <c r="O33" s="111"/>
      <c r="P33" s="72"/>
      <c r="Q33" s="118"/>
      <c r="R33" s="79"/>
      <c r="S33" s="5"/>
      <c r="T33" s="71"/>
      <c r="U33" s="113"/>
      <c r="V33" s="5"/>
      <c r="W33" s="88"/>
      <c r="X33" s="5"/>
      <c r="Y33" s="5"/>
      <c r="Z33" s="5"/>
      <c r="AA33" s="118"/>
      <c r="AB33" s="5"/>
      <c r="AC33" s="5"/>
      <c r="AD33" s="113"/>
      <c r="AE33" s="5"/>
      <c r="AF33" s="5"/>
      <c r="AG33" s="71"/>
      <c r="AH33" s="5"/>
      <c r="AI33" s="71"/>
      <c r="AJ33" s="118"/>
      <c r="AK33" s="5"/>
      <c r="AL33" s="5"/>
      <c r="AM33" s="113"/>
      <c r="AN33" s="5"/>
      <c r="AO33" s="5"/>
      <c r="AP33" s="5"/>
      <c r="AQ33" s="5"/>
      <c r="AR33" s="5"/>
      <c r="AS33" s="118"/>
      <c r="AT33" s="5"/>
      <c r="AU33" s="113"/>
      <c r="AV33" s="5"/>
      <c r="AW33" s="5"/>
      <c r="AX33" s="5"/>
    </row>
    <row r="34" spans="1:50" s="61" customFormat="1" ht="35.25" customHeight="1" x14ac:dyDescent="0.25">
      <c r="A34" s="71"/>
      <c r="B34" s="78"/>
      <c r="C34" s="71"/>
      <c r="D34" s="88"/>
      <c r="E34" s="5"/>
      <c r="F34" s="5"/>
      <c r="G34" s="5"/>
      <c r="H34" s="5"/>
      <c r="I34" s="71"/>
      <c r="J34" s="5"/>
      <c r="K34" s="5"/>
      <c r="L34" s="71"/>
      <c r="M34" s="5"/>
      <c r="N34" s="5"/>
      <c r="O34" s="111"/>
      <c r="P34" s="72"/>
      <c r="Q34" s="118"/>
      <c r="R34" s="79"/>
      <c r="S34" s="5"/>
      <c r="T34" s="71"/>
      <c r="U34" s="113"/>
      <c r="V34" s="5"/>
      <c r="W34" s="88"/>
      <c r="X34" s="5"/>
      <c r="Y34" s="5"/>
      <c r="Z34" s="5"/>
      <c r="AA34" s="118"/>
      <c r="AB34" s="5"/>
      <c r="AC34" s="5"/>
      <c r="AD34" s="113"/>
      <c r="AE34" s="5"/>
      <c r="AF34" s="5"/>
      <c r="AG34" s="71"/>
      <c r="AH34" s="5"/>
      <c r="AI34" s="71"/>
      <c r="AJ34" s="118"/>
      <c r="AK34" s="5"/>
      <c r="AL34" s="5"/>
      <c r="AM34" s="113"/>
      <c r="AN34" s="5"/>
      <c r="AO34" s="5"/>
      <c r="AP34" s="5"/>
      <c r="AQ34" s="5"/>
      <c r="AR34" s="5"/>
      <c r="AS34" s="118"/>
      <c r="AT34" s="5"/>
      <c r="AU34" s="113"/>
      <c r="AV34" s="5"/>
      <c r="AW34" s="5"/>
      <c r="AX34" s="5"/>
    </row>
    <row r="35" spans="1:50" s="61" customFormat="1" ht="35.25" customHeight="1" x14ac:dyDescent="0.25">
      <c r="A35" s="71" t="s">
        <v>89</v>
      </c>
      <c r="B35" s="71"/>
      <c r="C35" s="71"/>
      <c r="D35" s="88"/>
      <c r="E35" s="5"/>
      <c r="F35" s="5"/>
      <c r="G35" s="5"/>
      <c r="H35" s="5"/>
      <c r="I35" s="71"/>
      <c r="J35" s="5"/>
      <c r="K35" s="5"/>
      <c r="L35" s="71"/>
      <c r="M35" s="5"/>
      <c r="N35" s="5"/>
      <c r="O35" s="111"/>
      <c r="P35" s="72"/>
      <c r="Q35" s="118"/>
      <c r="R35" s="79"/>
      <c r="S35" s="5"/>
      <c r="T35" s="71"/>
      <c r="U35" s="113"/>
      <c r="V35" s="5"/>
      <c r="W35" s="88"/>
      <c r="X35" s="5"/>
      <c r="Y35" s="5"/>
      <c r="Z35" s="5"/>
      <c r="AA35" s="118"/>
      <c r="AB35" s="5"/>
      <c r="AC35" s="5"/>
      <c r="AD35" s="113"/>
      <c r="AE35" s="5"/>
      <c r="AF35" s="5"/>
      <c r="AG35" s="5"/>
      <c r="AH35" s="5"/>
      <c r="AI35" s="71"/>
      <c r="AJ35" s="118"/>
      <c r="AK35" s="5"/>
      <c r="AL35" s="5"/>
      <c r="AM35" s="113"/>
      <c r="AN35" s="5"/>
      <c r="AO35" s="5"/>
      <c r="AP35" s="5"/>
      <c r="AQ35" s="5"/>
      <c r="AR35" s="5"/>
      <c r="AS35" s="118"/>
      <c r="AT35" s="5"/>
      <c r="AU35" s="113"/>
      <c r="AV35" s="5"/>
      <c r="AW35" s="5"/>
      <c r="AX35" s="5"/>
    </row>
    <row r="36" spans="1:50" s="61" customFormat="1" ht="35.25" customHeight="1" x14ac:dyDescent="0.25">
      <c r="A36" s="71" t="s">
        <v>90</v>
      </c>
      <c r="B36" s="71"/>
      <c r="C36" s="71"/>
      <c r="D36" s="88"/>
      <c r="E36" s="5"/>
      <c r="F36" s="5"/>
      <c r="G36" s="5"/>
      <c r="H36" s="5"/>
      <c r="I36" s="71"/>
      <c r="J36" s="5"/>
      <c r="K36" s="5"/>
      <c r="L36" s="5"/>
      <c r="M36" s="5"/>
      <c r="N36" s="5"/>
      <c r="O36" s="111"/>
      <c r="P36" s="72"/>
      <c r="Q36" s="118"/>
      <c r="R36" s="79"/>
      <c r="S36" s="5"/>
      <c r="T36" s="71"/>
      <c r="U36" s="113"/>
      <c r="V36" s="5"/>
      <c r="W36" s="88"/>
      <c r="X36" s="5"/>
      <c r="Y36" s="5"/>
      <c r="Z36" s="5"/>
      <c r="AA36" s="118"/>
      <c r="AB36" s="5"/>
      <c r="AC36" s="5"/>
      <c r="AD36" s="113"/>
      <c r="AE36" s="5"/>
      <c r="AF36" s="5"/>
      <c r="AG36" s="5"/>
      <c r="AH36" s="5"/>
      <c r="AI36" s="71"/>
      <c r="AJ36" s="118"/>
      <c r="AK36" s="5"/>
      <c r="AL36" s="5"/>
      <c r="AM36" s="113"/>
      <c r="AN36" s="5"/>
      <c r="AO36" s="5"/>
      <c r="AP36" s="5"/>
      <c r="AQ36" s="5"/>
      <c r="AR36" s="5"/>
      <c r="AS36" s="118"/>
      <c r="AT36" s="5"/>
      <c r="AU36" s="113"/>
      <c r="AV36" s="5"/>
      <c r="AW36" s="5"/>
      <c r="AX36" s="5"/>
    </row>
    <row r="37" spans="1:50" s="61" customFormat="1" ht="35.25" customHeight="1" x14ac:dyDescent="0.25">
      <c r="A37" s="71" t="s">
        <v>91</v>
      </c>
      <c r="B37" s="71"/>
      <c r="C37" s="71"/>
      <c r="D37" s="88"/>
      <c r="E37" s="5"/>
      <c r="F37" s="5"/>
      <c r="G37" s="5"/>
      <c r="H37" s="5"/>
      <c r="I37" s="71"/>
      <c r="J37" s="5"/>
      <c r="K37" s="5"/>
      <c r="L37" s="5"/>
      <c r="M37" s="5"/>
      <c r="N37" s="5"/>
      <c r="O37" s="111"/>
      <c r="P37" s="72"/>
      <c r="Q37" s="118"/>
      <c r="R37" s="79"/>
      <c r="S37" s="5"/>
      <c r="T37" s="71"/>
      <c r="U37" s="113"/>
      <c r="V37" s="5"/>
      <c r="W37" s="88"/>
      <c r="X37" s="5"/>
      <c r="Y37" s="5"/>
      <c r="Z37" s="5"/>
      <c r="AA37" s="118"/>
      <c r="AB37" s="5"/>
      <c r="AC37" s="5"/>
      <c r="AD37" s="113"/>
      <c r="AE37" s="5"/>
      <c r="AF37" s="5"/>
      <c r="AG37" s="5"/>
      <c r="AH37" s="5"/>
      <c r="AI37" s="71"/>
      <c r="AJ37" s="118"/>
      <c r="AK37" s="5"/>
      <c r="AL37" s="5"/>
      <c r="AM37" s="113"/>
      <c r="AN37" s="5"/>
      <c r="AO37" s="5"/>
      <c r="AP37" s="5"/>
      <c r="AQ37" s="5"/>
      <c r="AR37" s="5"/>
      <c r="AS37" s="118"/>
      <c r="AT37" s="5"/>
      <c r="AU37" s="113"/>
      <c r="AV37" s="5"/>
      <c r="AW37" s="5"/>
      <c r="AX37" s="5"/>
    </row>
    <row r="38" spans="1:50" s="61" customFormat="1" ht="35.25" customHeight="1" x14ac:dyDescent="0.25">
      <c r="A38" s="71" t="s">
        <v>92</v>
      </c>
      <c r="B38" s="71"/>
      <c r="C38" s="71"/>
      <c r="D38" s="88"/>
      <c r="E38" s="5"/>
      <c r="F38" s="5"/>
      <c r="G38" s="5"/>
      <c r="H38" s="5"/>
      <c r="I38" s="71"/>
      <c r="J38" s="5"/>
      <c r="K38" s="5"/>
      <c r="L38" s="5"/>
      <c r="M38" s="5"/>
      <c r="N38" s="5"/>
      <c r="O38" s="111"/>
      <c r="P38" s="72"/>
      <c r="Q38" s="118"/>
      <c r="R38" s="79"/>
      <c r="S38" s="5"/>
      <c r="T38" s="71"/>
      <c r="U38" s="113"/>
      <c r="V38" s="5"/>
      <c r="W38" s="88"/>
      <c r="X38" s="5"/>
      <c r="Y38" s="5"/>
      <c r="Z38" s="5"/>
      <c r="AA38" s="118"/>
      <c r="AB38" s="5"/>
      <c r="AC38" s="5"/>
      <c r="AD38" s="113"/>
      <c r="AE38" s="5"/>
      <c r="AF38" s="5"/>
      <c r="AG38" s="5"/>
      <c r="AH38" s="5"/>
      <c r="AI38" s="71"/>
      <c r="AJ38" s="118"/>
      <c r="AK38" s="5"/>
      <c r="AL38" s="5"/>
      <c r="AM38" s="113"/>
      <c r="AN38" s="5"/>
      <c r="AO38" s="5"/>
      <c r="AP38" s="5"/>
      <c r="AQ38" s="5"/>
      <c r="AR38" s="5"/>
      <c r="AS38" s="118"/>
      <c r="AT38" s="5"/>
      <c r="AU38" s="113"/>
      <c r="AV38" s="5"/>
      <c r="AW38" s="5"/>
      <c r="AX38" s="5"/>
    </row>
    <row r="39" spans="1:50" s="61" customFormat="1" ht="35.25" customHeight="1" x14ac:dyDescent="0.25">
      <c r="A39" s="71" t="s">
        <v>93</v>
      </c>
      <c r="B39" s="71"/>
      <c r="C39" s="71"/>
      <c r="D39" s="88"/>
      <c r="E39" s="5"/>
      <c r="F39" s="5"/>
      <c r="G39" s="5"/>
      <c r="H39" s="5"/>
      <c r="I39" s="71"/>
      <c r="J39" s="5"/>
      <c r="K39" s="5"/>
      <c r="L39" s="5"/>
      <c r="M39" s="5"/>
      <c r="N39" s="5"/>
      <c r="O39" s="111"/>
      <c r="P39" s="72"/>
      <c r="Q39" s="118"/>
      <c r="R39" s="79"/>
      <c r="S39" s="5"/>
      <c r="T39" s="71"/>
      <c r="U39" s="113"/>
      <c r="V39" s="5"/>
      <c r="W39" s="88"/>
      <c r="X39" s="5"/>
      <c r="Y39" s="5"/>
      <c r="Z39" s="5"/>
      <c r="AA39" s="118"/>
      <c r="AB39" s="5"/>
      <c r="AC39" s="5"/>
      <c r="AD39" s="113"/>
      <c r="AE39" s="5"/>
      <c r="AF39" s="5"/>
      <c r="AG39" s="5"/>
      <c r="AH39" s="5"/>
      <c r="AI39" s="71"/>
      <c r="AJ39" s="118"/>
      <c r="AK39" s="5"/>
      <c r="AL39" s="5"/>
      <c r="AM39" s="113"/>
      <c r="AN39" s="5"/>
      <c r="AO39" s="5"/>
      <c r="AP39" s="5"/>
      <c r="AQ39" s="5"/>
      <c r="AR39" s="5"/>
      <c r="AS39" s="118"/>
      <c r="AT39" s="5"/>
      <c r="AU39" s="113"/>
      <c r="AV39" s="5"/>
      <c r="AW39" s="5"/>
      <c r="AX39" s="5"/>
    </row>
    <row r="40" spans="1:50" s="61" customFormat="1" ht="35.25" customHeight="1" x14ac:dyDescent="0.25">
      <c r="A40" s="71" t="s">
        <v>94</v>
      </c>
      <c r="B40" s="71"/>
      <c r="C40" s="71"/>
      <c r="D40" s="88"/>
      <c r="E40" s="5"/>
      <c r="F40" s="5"/>
      <c r="G40" s="5"/>
      <c r="H40" s="5"/>
      <c r="I40" s="71"/>
      <c r="J40" s="5"/>
      <c r="K40" s="5"/>
      <c r="L40" s="5"/>
      <c r="M40" s="5"/>
      <c r="N40" s="5"/>
      <c r="O40" s="111"/>
      <c r="P40" s="72"/>
      <c r="Q40" s="118"/>
      <c r="R40" s="79"/>
      <c r="S40" s="5"/>
      <c r="T40" s="71"/>
      <c r="U40" s="113"/>
      <c r="V40" s="5"/>
      <c r="W40" s="88"/>
      <c r="X40" s="5"/>
      <c r="Y40" s="5"/>
      <c r="Z40" s="5"/>
      <c r="AA40" s="118"/>
      <c r="AB40" s="5"/>
      <c r="AC40" s="5"/>
      <c r="AD40" s="113"/>
      <c r="AE40" s="5"/>
      <c r="AF40" s="5"/>
      <c r="AG40" s="5"/>
      <c r="AH40" s="5"/>
      <c r="AI40" s="71"/>
      <c r="AJ40" s="118"/>
      <c r="AK40" s="5"/>
      <c r="AL40" s="5"/>
      <c r="AM40" s="113"/>
      <c r="AN40" s="5"/>
      <c r="AO40" s="5"/>
      <c r="AP40" s="5"/>
      <c r="AQ40" s="5"/>
      <c r="AR40" s="5"/>
      <c r="AS40" s="118"/>
      <c r="AT40" s="5"/>
      <c r="AU40" s="113"/>
      <c r="AV40" s="5"/>
      <c r="AW40" s="5"/>
      <c r="AX40" s="5"/>
    </row>
    <row r="41" spans="1:50" s="61" customFormat="1" ht="35.25" customHeight="1" x14ac:dyDescent="0.25">
      <c r="A41" s="71" t="s">
        <v>95</v>
      </c>
      <c r="B41" s="71"/>
      <c r="C41" s="71"/>
      <c r="D41" s="88"/>
      <c r="E41" s="5"/>
      <c r="F41" s="5"/>
      <c r="G41" s="5"/>
      <c r="H41" s="5"/>
      <c r="I41" s="71"/>
      <c r="J41" s="5"/>
      <c r="K41" s="5"/>
      <c r="L41" s="5"/>
      <c r="M41" s="5"/>
      <c r="N41" s="5"/>
      <c r="O41" s="111"/>
      <c r="P41" s="72"/>
      <c r="Q41" s="118"/>
      <c r="R41" s="79"/>
      <c r="S41" s="5"/>
      <c r="T41" s="71"/>
      <c r="U41" s="113"/>
      <c r="V41" s="5"/>
      <c r="W41" s="88"/>
      <c r="X41" s="5"/>
      <c r="Y41" s="5"/>
      <c r="Z41" s="5"/>
      <c r="AA41" s="118"/>
      <c r="AB41" s="5"/>
      <c r="AC41" s="5"/>
      <c r="AD41" s="113"/>
      <c r="AE41" s="5"/>
      <c r="AF41" s="5"/>
      <c r="AG41" s="5"/>
      <c r="AH41" s="5"/>
      <c r="AI41" s="71"/>
      <c r="AJ41" s="118"/>
      <c r="AK41" s="5"/>
      <c r="AL41" s="5"/>
      <c r="AM41" s="113"/>
      <c r="AN41" s="5"/>
      <c r="AO41" s="5"/>
      <c r="AP41" s="5"/>
      <c r="AQ41" s="5"/>
      <c r="AR41" s="5"/>
      <c r="AS41" s="118"/>
      <c r="AT41" s="5"/>
      <c r="AU41" s="113"/>
      <c r="AV41" s="5"/>
      <c r="AW41" s="5"/>
      <c r="AX41" s="5"/>
    </row>
    <row r="42" spans="1:50" s="61" customFormat="1" ht="35.25" customHeight="1" x14ac:dyDescent="0.25">
      <c r="A42" s="71" t="s">
        <v>96</v>
      </c>
      <c r="B42" s="71"/>
      <c r="C42" s="71"/>
      <c r="D42" s="88"/>
      <c r="E42" s="5"/>
      <c r="F42" s="5"/>
      <c r="G42" s="5"/>
      <c r="H42" s="5"/>
      <c r="I42" s="71"/>
      <c r="J42" s="5"/>
      <c r="K42" s="5"/>
      <c r="L42" s="5"/>
      <c r="M42" s="5"/>
      <c r="N42" s="5"/>
      <c r="O42" s="111"/>
      <c r="P42" s="72"/>
      <c r="Q42" s="118"/>
      <c r="R42" s="79"/>
      <c r="S42" s="5"/>
      <c r="T42" s="71"/>
      <c r="U42" s="113"/>
      <c r="V42" s="5"/>
      <c r="W42" s="88"/>
      <c r="X42" s="5"/>
      <c r="Y42" s="5"/>
      <c r="Z42" s="5"/>
      <c r="AA42" s="118"/>
      <c r="AB42" s="5"/>
      <c r="AC42" s="5"/>
      <c r="AD42" s="113"/>
      <c r="AE42" s="5"/>
      <c r="AF42" s="5"/>
      <c r="AG42" s="5"/>
      <c r="AH42" s="5"/>
      <c r="AI42" s="71"/>
      <c r="AJ42" s="118"/>
      <c r="AK42" s="5"/>
      <c r="AL42" s="5"/>
      <c r="AM42" s="113"/>
      <c r="AN42" s="5"/>
      <c r="AO42" s="5"/>
      <c r="AP42" s="5"/>
      <c r="AQ42" s="5"/>
      <c r="AR42" s="5"/>
      <c r="AS42" s="118"/>
      <c r="AT42" s="5"/>
      <c r="AU42" s="113"/>
      <c r="AV42" s="5"/>
      <c r="AW42" s="5"/>
      <c r="AX42" s="5"/>
    </row>
    <row r="43" spans="1:50" s="61" customFormat="1" ht="35.25" customHeight="1" x14ac:dyDescent="0.25">
      <c r="A43" s="71" t="s">
        <v>97</v>
      </c>
      <c r="B43" s="71"/>
      <c r="C43" s="71"/>
      <c r="D43" s="88"/>
      <c r="E43" s="5"/>
      <c r="F43" s="5"/>
      <c r="G43" s="5"/>
      <c r="H43" s="5"/>
      <c r="I43" s="71"/>
      <c r="J43" s="5"/>
      <c r="K43" s="5"/>
      <c r="L43" s="5"/>
      <c r="M43" s="5"/>
      <c r="N43" s="5"/>
      <c r="O43" s="111"/>
      <c r="P43" s="117"/>
      <c r="Q43" s="118"/>
      <c r="R43" s="79"/>
      <c r="S43" s="5"/>
      <c r="T43" s="71"/>
      <c r="U43" s="113"/>
      <c r="V43" s="5"/>
      <c r="W43" s="88"/>
      <c r="X43" s="5"/>
      <c r="Y43" s="5"/>
      <c r="Z43" s="5"/>
      <c r="AA43" s="118"/>
      <c r="AB43" s="5"/>
      <c r="AC43" s="5"/>
      <c r="AD43" s="113"/>
      <c r="AE43" s="5"/>
      <c r="AF43" s="5"/>
      <c r="AG43" s="5"/>
      <c r="AH43" s="5"/>
      <c r="AI43" s="71"/>
      <c r="AJ43" s="118"/>
      <c r="AK43" s="5"/>
      <c r="AL43" s="5"/>
      <c r="AM43" s="113"/>
      <c r="AN43" s="5"/>
      <c r="AO43" s="5"/>
      <c r="AP43" s="5"/>
      <c r="AQ43" s="5"/>
      <c r="AR43" s="5"/>
      <c r="AS43" s="118"/>
      <c r="AT43" s="5"/>
      <c r="AU43" s="113"/>
      <c r="AV43" s="5"/>
      <c r="AW43" s="5"/>
      <c r="AX43" s="5"/>
    </row>
    <row r="44" spans="1:50" s="61" customFormat="1" ht="35.25" customHeight="1" x14ac:dyDescent="0.25">
      <c r="A44" s="71" t="s">
        <v>98</v>
      </c>
      <c r="B44" s="71"/>
      <c r="C44" s="71"/>
      <c r="D44" s="88"/>
      <c r="E44" s="5"/>
      <c r="F44" s="5"/>
      <c r="G44" s="5"/>
      <c r="H44" s="5"/>
      <c r="I44" s="71"/>
      <c r="J44" s="5"/>
      <c r="K44" s="5"/>
      <c r="L44" s="5"/>
      <c r="M44" s="5"/>
      <c r="N44" s="5"/>
      <c r="O44" s="111"/>
      <c r="P44" s="117"/>
      <c r="Q44" s="118"/>
      <c r="R44" s="79"/>
      <c r="S44" s="5"/>
      <c r="T44" s="71"/>
      <c r="U44" s="113"/>
      <c r="V44" s="5"/>
      <c r="W44" s="88"/>
      <c r="X44" s="5"/>
      <c r="Y44" s="5"/>
      <c r="Z44" s="5"/>
      <c r="AA44" s="118"/>
      <c r="AB44" s="5"/>
      <c r="AC44" s="5"/>
      <c r="AD44" s="113"/>
      <c r="AE44" s="5"/>
      <c r="AF44" s="5"/>
      <c r="AG44" s="5"/>
      <c r="AH44" s="5"/>
      <c r="AI44" s="71"/>
      <c r="AJ44" s="118"/>
      <c r="AK44" s="5"/>
      <c r="AL44" s="5"/>
      <c r="AM44" s="113"/>
      <c r="AN44" s="5"/>
      <c r="AO44" s="5"/>
      <c r="AP44" s="5"/>
      <c r="AQ44" s="5"/>
      <c r="AR44" s="5"/>
      <c r="AS44" s="118"/>
      <c r="AT44" s="5"/>
      <c r="AU44" s="113"/>
      <c r="AV44" s="5"/>
      <c r="AW44" s="5"/>
      <c r="AX44" s="5"/>
    </row>
    <row r="45" spans="1:50" s="61" customFormat="1" ht="35.25" customHeight="1" x14ac:dyDescent="0.25">
      <c r="A45" s="71" t="s">
        <v>99</v>
      </c>
      <c r="B45" s="71"/>
      <c r="C45" s="71"/>
      <c r="D45" s="88"/>
      <c r="E45" s="5"/>
      <c r="F45" s="5"/>
      <c r="G45" s="5"/>
      <c r="H45" s="5"/>
      <c r="I45" s="71"/>
      <c r="J45" s="5"/>
      <c r="K45" s="5"/>
      <c r="L45" s="5"/>
      <c r="M45" s="5"/>
      <c r="N45" s="5"/>
      <c r="O45" s="111"/>
      <c r="P45" s="119"/>
      <c r="Q45" s="120"/>
      <c r="R45" s="71"/>
      <c r="S45" s="5"/>
      <c r="T45" s="71"/>
      <c r="U45" s="121"/>
      <c r="V45" s="5"/>
      <c r="W45" s="88"/>
      <c r="X45" s="5"/>
      <c r="Y45" s="5"/>
      <c r="Z45" s="5"/>
      <c r="AA45" s="120"/>
      <c r="AB45" s="5"/>
      <c r="AC45" s="5"/>
      <c r="AD45" s="121"/>
      <c r="AE45" s="5"/>
      <c r="AF45" s="5"/>
      <c r="AG45" s="5"/>
      <c r="AH45" s="5"/>
      <c r="AI45" s="71"/>
      <c r="AJ45" s="120"/>
      <c r="AK45" s="5"/>
      <c r="AL45" s="5"/>
      <c r="AM45" s="121"/>
      <c r="AN45" s="5"/>
      <c r="AO45" s="5"/>
      <c r="AP45" s="5"/>
      <c r="AQ45" s="5"/>
      <c r="AR45" s="5"/>
      <c r="AS45" s="120"/>
      <c r="AT45" s="5"/>
      <c r="AU45" s="121"/>
      <c r="AV45" s="5"/>
      <c r="AW45" s="5"/>
      <c r="AX45" s="5"/>
    </row>
    <row r="46" spans="1:50" s="61" customFormat="1" ht="35.25" customHeight="1" x14ac:dyDescent="0.25">
      <c r="A46" s="71" t="s">
        <v>100</v>
      </c>
      <c r="B46" s="71"/>
      <c r="C46" s="71"/>
      <c r="D46" s="88"/>
      <c r="E46" s="5"/>
      <c r="F46" s="5"/>
      <c r="G46" s="5"/>
      <c r="H46" s="5"/>
      <c r="I46" s="71"/>
      <c r="J46" s="5"/>
      <c r="K46" s="5"/>
      <c r="L46" s="5"/>
      <c r="M46" s="5"/>
      <c r="N46" s="5"/>
      <c r="O46" s="111"/>
      <c r="P46" s="122"/>
      <c r="Q46" s="120"/>
      <c r="R46" s="71"/>
      <c r="S46" s="5"/>
      <c r="T46" s="71"/>
      <c r="U46" s="121"/>
      <c r="V46" s="5"/>
      <c r="W46" s="88"/>
      <c r="X46" s="5"/>
      <c r="Y46" s="5"/>
      <c r="Z46" s="5"/>
      <c r="AA46" s="120"/>
      <c r="AB46" s="5"/>
      <c r="AC46" s="5"/>
      <c r="AD46" s="121"/>
      <c r="AE46" s="5"/>
      <c r="AF46" s="5"/>
      <c r="AG46" s="5"/>
      <c r="AH46" s="5"/>
      <c r="AI46" s="71"/>
      <c r="AJ46" s="120"/>
      <c r="AK46" s="5"/>
      <c r="AL46" s="5"/>
      <c r="AM46" s="121"/>
      <c r="AN46" s="5"/>
      <c r="AO46" s="5"/>
      <c r="AP46" s="5"/>
      <c r="AQ46" s="5"/>
      <c r="AR46" s="5"/>
      <c r="AS46" s="120"/>
      <c r="AT46" s="5"/>
      <c r="AU46" s="121"/>
      <c r="AV46" s="5"/>
      <c r="AW46" s="5"/>
      <c r="AX46" s="5"/>
    </row>
    <row r="47" spans="1:50" s="61" customFormat="1" ht="35.25" customHeight="1" x14ac:dyDescent="0.25">
      <c r="A47" s="71" t="s">
        <v>101</v>
      </c>
      <c r="B47" s="71"/>
      <c r="C47" s="71"/>
      <c r="D47" s="88"/>
      <c r="E47" s="5"/>
      <c r="F47" s="5"/>
      <c r="G47" s="5"/>
      <c r="H47" s="5"/>
      <c r="I47" s="71"/>
      <c r="J47" s="5"/>
      <c r="K47" s="5"/>
      <c r="L47" s="5"/>
      <c r="M47" s="5"/>
      <c r="N47" s="5"/>
      <c r="O47" s="111"/>
      <c r="P47" s="119"/>
      <c r="Q47" s="120"/>
      <c r="R47" s="71"/>
      <c r="S47" s="5"/>
      <c r="T47" s="71"/>
      <c r="U47" s="121"/>
      <c r="V47" s="5"/>
      <c r="W47" s="88"/>
      <c r="X47" s="5"/>
      <c r="Y47" s="5"/>
      <c r="Z47" s="5"/>
      <c r="AA47" s="120"/>
      <c r="AB47" s="5"/>
      <c r="AC47" s="5"/>
      <c r="AD47" s="121"/>
      <c r="AE47" s="5"/>
      <c r="AF47" s="5"/>
      <c r="AG47" s="5"/>
      <c r="AH47" s="5"/>
      <c r="AI47" s="71"/>
      <c r="AJ47" s="120"/>
      <c r="AK47" s="5"/>
      <c r="AL47" s="5"/>
      <c r="AM47" s="121"/>
      <c r="AN47" s="5"/>
      <c r="AO47" s="5"/>
      <c r="AP47" s="5"/>
      <c r="AQ47" s="5"/>
      <c r="AR47" s="5"/>
      <c r="AS47" s="120"/>
      <c r="AT47" s="5"/>
      <c r="AU47" s="121"/>
      <c r="AV47" s="5"/>
      <c r="AW47" s="5"/>
      <c r="AX47" s="5"/>
    </row>
    <row r="48" spans="1:50" s="61" customFormat="1" ht="35.25" customHeight="1" x14ac:dyDescent="0.25">
      <c r="A48" s="71" t="s">
        <v>102</v>
      </c>
      <c r="B48" s="71"/>
      <c r="C48" s="71"/>
      <c r="D48" s="88"/>
      <c r="E48" s="5"/>
      <c r="F48" s="5"/>
      <c r="G48" s="5"/>
      <c r="H48" s="5"/>
      <c r="I48" s="71"/>
      <c r="J48" s="5"/>
      <c r="K48" s="5"/>
      <c r="L48" s="5"/>
      <c r="M48" s="5"/>
      <c r="N48" s="5"/>
      <c r="O48" s="111"/>
      <c r="P48" s="122"/>
      <c r="Q48" s="120"/>
      <c r="R48" s="71"/>
      <c r="S48" s="5"/>
      <c r="T48" s="71"/>
      <c r="U48" s="121"/>
      <c r="V48" s="5"/>
      <c r="W48" s="88"/>
      <c r="X48" s="5"/>
      <c r="Y48" s="5"/>
      <c r="Z48" s="5"/>
      <c r="AA48" s="120"/>
      <c r="AB48" s="5"/>
      <c r="AC48" s="5"/>
      <c r="AD48" s="121"/>
      <c r="AE48" s="5"/>
      <c r="AF48" s="5"/>
      <c r="AG48" s="5"/>
      <c r="AH48" s="5"/>
      <c r="AI48" s="71"/>
      <c r="AJ48" s="120"/>
      <c r="AK48" s="5"/>
      <c r="AL48" s="5"/>
      <c r="AM48" s="121"/>
      <c r="AN48" s="5"/>
      <c r="AO48" s="5"/>
      <c r="AP48" s="5"/>
      <c r="AQ48" s="5"/>
      <c r="AR48" s="5"/>
      <c r="AS48" s="120"/>
      <c r="AT48" s="5"/>
      <c r="AU48" s="121"/>
      <c r="AV48" s="5"/>
      <c r="AW48" s="5"/>
      <c r="AX48" s="5"/>
    </row>
    <row r="49" spans="1:50" s="61" customFormat="1" ht="35.25" customHeight="1" x14ac:dyDescent="0.25">
      <c r="A49" s="71" t="s">
        <v>103</v>
      </c>
      <c r="B49" s="71"/>
      <c r="C49" s="71"/>
      <c r="D49" s="88"/>
      <c r="E49" s="5"/>
      <c r="F49" s="5"/>
      <c r="G49" s="5"/>
      <c r="H49" s="5"/>
      <c r="I49" s="71"/>
      <c r="J49" s="5"/>
      <c r="K49" s="5"/>
      <c r="L49" s="5"/>
      <c r="M49" s="5"/>
      <c r="N49" s="5"/>
      <c r="O49" s="111"/>
      <c r="P49" s="119"/>
      <c r="Q49" s="120"/>
      <c r="R49" s="71"/>
      <c r="S49" s="5"/>
      <c r="T49" s="71"/>
      <c r="U49" s="121"/>
      <c r="V49" s="5"/>
      <c r="W49" s="88"/>
      <c r="X49" s="5"/>
      <c r="Y49" s="5"/>
      <c r="Z49" s="5"/>
      <c r="AA49" s="120"/>
      <c r="AB49" s="5"/>
      <c r="AC49" s="5"/>
      <c r="AD49" s="121"/>
      <c r="AE49" s="5"/>
      <c r="AF49" s="5"/>
      <c r="AG49" s="5"/>
      <c r="AH49" s="5"/>
      <c r="AI49" s="71"/>
      <c r="AJ49" s="120"/>
      <c r="AK49" s="5"/>
      <c r="AL49" s="5"/>
      <c r="AM49" s="121"/>
      <c r="AN49" s="5"/>
      <c r="AO49" s="5"/>
      <c r="AP49" s="5"/>
      <c r="AQ49" s="5"/>
      <c r="AR49" s="5"/>
      <c r="AS49" s="120"/>
      <c r="AT49" s="5"/>
      <c r="AU49" s="121"/>
      <c r="AV49" s="5"/>
      <c r="AW49" s="5"/>
      <c r="AX49" s="5"/>
    </row>
    <row r="50" spans="1:50" s="61" customFormat="1" ht="35.25" customHeight="1" x14ac:dyDescent="0.25">
      <c r="A50" s="71" t="s">
        <v>104</v>
      </c>
      <c r="B50" s="71"/>
      <c r="C50" s="71"/>
      <c r="D50" s="88"/>
      <c r="E50" s="5"/>
      <c r="F50" s="5"/>
      <c r="G50" s="5"/>
      <c r="H50" s="5"/>
      <c r="I50" s="71"/>
      <c r="J50" s="5"/>
      <c r="K50" s="5"/>
      <c r="L50" s="5"/>
      <c r="M50" s="5"/>
      <c r="N50" s="5"/>
      <c r="O50" s="111"/>
      <c r="P50" s="122"/>
      <c r="Q50" s="120"/>
      <c r="R50" s="71"/>
      <c r="S50" s="5"/>
      <c r="T50" s="71"/>
      <c r="U50" s="121"/>
      <c r="V50" s="5"/>
      <c r="W50" s="88"/>
      <c r="X50" s="5"/>
      <c r="Y50" s="5"/>
      <c r="Z50" s="5"/>
      <c r="AA50" s="120"/>
      <c r="AB50" s="5"/>
      <c r="AC50" s="5"/>
      <c r="AD50" s="121"/>
      <c r="AE50" s="5"/>
      <c r="AF50" s="5"/>
      <c r="AG50" s="5"/>
      <c r="AH50" s="5"/>
      <c r="AI50" s="71"/>
      <c r="AJ50" s="120"/>
      <c r="AK50" s="5"/>
      <c r="AL50" s="5"/>
      <c r="AM50" s="121"/>
      <c r="AN50" s="5"/>
      <c r="AO50" s="5"/>
      <c r="AP50" s="5"/>
      <c r="AQ50" s="5"/>
      <c r="AR50" s="5"/>
      <c r="AS50" s="120"/>
      <c r="AT50" s="5"/>
      <c r="AU50" s="121"/>
      <c r="AV50" s="5"/>
      <c r="AW50" s="5"/>
      <c r="AX50" s="5"/>
    </row>
    <row r="51" spans="1:50" s="61" customFormat="1" ht="35.25" customHeight="1" x14ac:dyDescent="0.25">
      <c r="A51" s="71" t="s">
        <v>105</v>
      </c>
      <c r="B51" s="71"/>
      <c r="C51" s="71"/>
      <c r="D51" s="88"/>
      <c r="E51" s="5"/>
      <c r="F51" s="5"/>
      <c r="G51" s="5"/>
      <c r="H51" s="5"/>
      <c r="I51" s="71"/>
      <c r="J51" s="5"/>
      <c r="K51" s="5"/>
      <c r="L51" s="5"/>
      <c r="M51" s="5"/>
      <c r="N51" s="5"/>
      <c r="O51" s="111"/>
      <c r="P51" s="119"/>
      <c r="Q51" s="120"/>
      <c r="R51" s="71"/>
      <c r="S51" s="5"/>
      <c r="T51" s="5"/>
      <c r="U51" s="121"/>
      <c r="V51" s="5"/>
      <c r="W51" s="88"/>
      <c r="X51" s="5"/>
      <c r="Y51" s="5"/>
      <c r="Z51" s="5"/>
      <c r="AA51" s="120"/>
      <c r="AB51" s="5"/>
      <c r="AC51" s="5"/>
      <c r="AD51" s="121"/>
      <c r="AE51" s="5"/>
      <c r="AF51" s="5"/>
      <c r="AG51" s="5"/>
      <c r="AH51" s="5"/>
      <c r="AI51" s="71"/>
      <c r="AJ51" s="120"/>
      <c r="AK51" s="5"/>
      <c r="AL51" s="5"/>
      <c r="AM51" s="121"/>
      <c r="AN51" s="5"/>
      <c r="AO51" s="5"/>
      <c r="AP51" s="5"/>
      <c r="AQ51" s="5"/>
      <c r="AR51" s="5"/>
      <c r="AS51" s="120"/>
      <c r="AT51" s="5"/>
      <c r="AU51" s="121"/>
      <c r="AV51" s="5"/>
      <c r="AW51" s="5"/>
      <c r="AX51" s="5"/>
    </row>
    <row r="52" spans="1:50" s="61" customFormat="1" ht="35.25" customHeight="1" x14ac:dyDescent="0.25">
      <c r="A52" s="71" t="s">
        <v>106</v>
      </c>
      <c r="B52" s="71"/>
      <c r="C52" s="71"/>
      <c r="D52" s="88"/>
      <c r="E52" s="5"/>
      <c r="F52" s="5"/>
      <c r="G52" s="5"/>
      <c r="H52" s="5"/>
      <c r="I52" s="71"/>
      <c r="J52" s="5"/>
      <c r="K52" s="5"/>
      <c r="L52" s="5"/>
      <c r="M52" s="5"/>
      <c r="N52" s="5"/>
      <c r="O52" s="111"/>
      <c r="P52" s="122"/>
      <c r="Q52" s="120"/>
      <c r="R52" s="71"/>
      <c r="S52" s="5"/>
      <c r="T52" s="5"/>
      <c r="U52" s="121"/>
      <c r="V52" s="5"/>
      <c r="W52" s="88"/>
      <c r="X52" s="5"/>
      <c r="Y52" s="5"/>
      <c r="Z52" s="5"/>
      <c r="AA52" s="120"/>
      <c r="AB52" s="5"/>
      <c r="AC52" s="5"/>
      <c r="AD52" s="121"/>
      <c r="AE52" s="5"/>
      <c r="AF52" s="5"/>
      <c r="AG52" s="5"/>
      <c r="AH52" s="5"/>
      <c r="AI52" s="71"/>
      <c r="AJ52" s="120"/>
      <c r="AK52" s="5"/>
      <c r="AL52" s="5"/>
      <c r="AM52" s="121"/>
      <c r="AN52" s="5"/>
      <c r="AO52" s="5"/>
      <c r="AP52" s="5"/>
      <c r="AQ52" s="5"/>
      <c r="AR52" s="5"/>
      <c r="AS52" s="120"/>
      <c r="AT52" s="5"/>
      <c r="AU52" s="121"/>
      <c r="AV52" s="5"/>
      <c r="AW52" s="5"/>
      <c r="AX52" s="5"/>
    </row>
    <row r="53" spans="1:50" s="61" customFormat="1" ht="35.25" customHeight="1" x14ac:dyDescent="0.25">
      <c r="A53" s="71" t="s">
        <v>107</v>
      </c>
      <c r="B53" s="71"/>
      <c r="C53" s="71"/>
      <c r="D53" s="88"/>
      <c r="E53" s="5"/>
      <c r="F53" s="5"/>
      <c r="G53" s="5"/>
      <c r="H53" s="5"/>
      <c r="I53" s="71"/>
      <c r="J53" s="5"/>
      <c r="K53" s="5"/>
      <c r="L53" s="5"/>
      <c r="M53" s="5"/>
      <c r="N53" s="5"/>
      <c r="O53" s="111"/>
      <c r="P53" s="119"/>
      <c r="Q53" s="120"/>
      <c r="R53" s="5"/>
      <c r="S53" s="5"/>
      <c r="T53" s="5"/>
      <c r="U53" s="121"/>
      <c r="V53" s="5"/>
      <c r="W53" s="88"/>
      <c r="X53" s="5"/>
      <c r="Y53" s="5"/>
      <c r="Z53" s="5"/>
      <c r="AA53" s="120"/>
      <c r="AB53" s="5"/>
      <c r="AC53" s="5"/>
      <c r="AD53" s="121"/>
      <c r="AE53" s="5"/>
      <c r="AF53" s="5"/>
      <c r="AG53" s="5"/>
      <c r="AH53" s="5"/>
      <c r="AI53" s="71"/>
      <c r="AJ53" s="120"/>
      <c r="AK53" s="5"/>
      <c r="AL53" s="5"/>
      <c r="AM53" s="121"/>
      <c r="AN53" s="5"/>
      <c r="AO53" s="5"/>
      <c r="AP53" s="5"/>
      <c r="AQ53" s="5"/>
      <c r="AR53" s="5"/>
      <c r="AS53" s="120"/>
      <c r="AT53" s="5"/>
      <c r="AU53" s="121"/>
      <c r="AV53" s="5"/>
      <c r="AW53" s="5"/>
      <c r="AX53" s="5"/>
    </row>
    <row r="54" spans="1:50" s="61" customFormat="1" ht="35.25" customHeight="1" x14ac:dyDescent="0.25">
      <c r="A54" s="71" t="s">
        <v>108</v>
      </c>
      <c r="B54" s="71"/>
      <c r="C54" s="71"/>
      <c r="D54" s="88"/>
      <c r="E54" s="5"/>
      <c r="F54" s="5"/>
      <c r="G54" s="5"/>
      <c r="H54" s="5"/>
      <c r="I54" s="5"/>
      <c r="J54" s="5"/>
      <c r="K54" s="5"/>
      <c r="L54" s="5"/>
      <c r="M54" s="5"/>
      <c r="N54" s="5"/>
      <c r="O54" s="111"/>
      <c r="P54" s="122"/>
      <c r="Q54" s="120"/>
      <c r="R54" s="5"/>
      <c r="S54" s="5"/>
      <c r="T54" s="5"/>
      <c r="U54" s="121"/>
      <c r="V54" s="5"/>
      <c r="W54" s="88"/>
      <c r="X54" s="5"/>
      <c r="Y54" s="5"/>
      <c r="Z54" s="5"/>
      <c r="AA54" s="120"/>
      <c r="AB54" s="5"/>
      <c r="AC54" s="5"/>
      <c r="AD54" s="121"/>
      <c r="AE54" s="5"/>
      <c r="AF54" s="5"/>
      <c r="AG54" s="5"/>
      <c r="AH54" s="5"/>
      <c r="AI54" s="71"/>
      <c r="AJ54" s="120"/>
      <c r="AK54" s="5"/>
      <c r="AL54" s="5"/>
      <c r="AM54" s="121"/>
      <c r="AN54" s="5"/>
      <c r="AO54" s="5"/>
      <c r="AP54" s="5"/>
      <c r="AQ54" s="5"/>
      <c r="AR54" s="5"/>
      <c r="AS54" s="120"/>
      <c r="AT54" s="5"/>
      <c r="AU54" s="121"/>
      <c r="AV54" s="5"/>
      <c r="AW54" s="5"/>
      <c r="AX54" s="5"/>
    </row>
    <row r="55" spans="1:50" s="61" customFormat="1" x14ac:dyDescent="0.25">
      <c r="D55" s="81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23"/>
      <c r="R55" s="13"/>
      <c r="S55" s="13"/>
      <c r="T55" s="13"/>
      <c r="U55" s="124"/>
      <c r="V55" s="13"/>
      <c r="W55" s="123"/>
      <c r="X55" s="13"/>
      <c r="Y55" s="13"/>
      <c r="Z55" s="13"/>
      <c r="AA55" s="123"/>
      <c r="AB55" s="13"/>
      <c r="AC55" s="13"/>
      <c r="AD55" s="124"/>
      <c r="AE55" s="13"/>
      <c r="AF55" s="13"/>
      <c r="AG55" s="13"/>
      <c r="AH55" s="13"/>
      <c r="AJ55" s="123"/>
      <c r="AK55" s="13"/>
      <c r="AL55" s="13"/>
      <c r="AM55" s="124"/>
      <c r="AN55" s="13"/>
      <c r="AO55" s="13"/>
      <c r="AP55" s="13"/>
      <c r="AQ55" s="13"/>
      <c r="AR55" s="13"/>
      <c r="AS55" s="123"/>
      <c r="AT55" s="13"/>
      <c r="AU55" s="124"/>
      <c r="AV55" s="13"/>
      <c r="AW55" s="13"/>
      <c r="AX55" s="13"/>
    </row>
    <row r="56" spans="1:50" s="61" customFormat="1" x14ac:dyDescent="0.25">
      <c r="D56" s="81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23"/>
      <c r="R56" s="13"/>
      <c r="S56" s="13"/>
      <c r="T56" s="13"/>
      <c r="U56" s="124"/>
      <c r="V56" s="13"/>
      <c r="W56" s="123"/>
      <c r="X56" s="13"/>
      <c r="Y56" s="13"/>
      <c r="Z56" s="13"/>
      <c r="AA56" s="123"/>
      <c r="AB56" s="13"/>
      <c r="AC56" s="13"/>
      <c r="AD56" s="124"/>
      <c r="AE56" s="13"/>
      <c r="AF56" s="13"/>
      <c r="AG56" s="13"/>
      <c r="AH56" s="13"/>
      <c r="AJ56" s="123"/>
      <c r="AK56" s="13"/>
      <c r="AL56" s="13"/>
      <c r="AM56" s="124"/>
      <c r="AN56" s="13"/>
      <c r="AO56" s="13"/>
      <c r="AP56" s="13"/>
      <c r="AQ56" s="13"/>
      <c r="AR56" s="13"/>
      <c r="AS56" s="123"/>
      <c r="AT56" s="13"/>
      <c r="AU56" s="124"/>
      <c r="AV56" s="13"/>
      <c r="AW56" s="13"/>
      <c r="AX56" s="13"/>
    </row>
    <row r="57" spans="1:50" s="61" customFormat="1" x14ac:dyDescent="0.25">
      <c r="D57" s="81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23"/>
      <c r="R57" s="13"/>
      <c r="S57" s="13"/>
      <c r="T57" s="13"/>
      <c r="U57" s="124"/>
      <c r="V57" s="13"/>
      <c r="W57" s="123"/>
      <c r="X57" s="13"/>
      <c r="Y57" s="13"/>
      <c r="Z57" s="13"/>
      <c r="AA57" s="123"/>
      <c r="AB57" s="13"/>
      <c r="AC57" s="13"/>
      <c r="AD57" s="124"/>
      <c r="AE57" s="13"/>
      <c r="AF57" s="13"/>
      <c r="AG57" s="13"/>
      <c r="AH57" s="13"/>
      <c r="AJ57" s="123"/>
      <c r="AK57" s="13"/>
      <c r="AL57" s="13"/>
      <c r="AM57" s="124"/>
      <c r="AN57" s="13"/>
      <c r="AO57" s="13"/>
      <c r="AP57" s="13"/>
      <c r="AQ57" s="13"/>
      <c r="AR57" s="13"/>
      <c r="AS57" s="123"/>
      <c r="AT57" s="13"/>
      <c r="AU57" s="124"/>
      <c r="AV57" s="13"/>
      <c r="AW57" s="13"/>
      <c r="AX57" s="13"/>
    </row>
    <row r="58" spans="1:50" s="61" customFormat="1" x14ac:dyDescent="0.25">
      <c r="D58" s="81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23"/>
      <c r="R58" s="13"/>
      <c r="S58" s="13"/>
      <c r="T58" s="13"/>
      <c r="U58" s="124"/>
      <c r="V58" s="13"/>
      <c r="W58" s="123"/>
      <c r="X58" s="13"/>
      <c r="Y58" s="13"/>
      <c r="Z58" s="13"/>
      <c r="AA58" s="123"/>
      <c r="AB58" s="13"/>
      <c r="AC58" s="13"/>
      <c r="AD58" s="124"/>
      <c r="AE58" s="13"/>
      <c r="AF58" s="13"/>
      <c r="AG58" s="13"/>
      <c r="AH58" s="13"/>
      <c r="AJ58" s="123"/>
      <c r="AK58" s="13"/>
      <c r="AL58" s="13"/>
      <c r="AM58" s="124"/>
      <c r="AN58" s="13"/>
      <c r="AO58" s="13"/>
      <c r="AP58" s="13"/>
      <c r="AQ58" s="13"/>
      <c r="AR58" s="13"/>
      <c r="AS58" s="123"/>
      <c r="AT58" s="13"/>
      <c r="AU58" s="124"/>
      <c r="AV58" s="13"/>
      <c r="AW58" s="13"/>
      <c r="AX58" s="13"/>
    </row>
    <row r="59" spans="1:50" s="61" customFormat="1" x14ac:dyDescent="0.25">
      <c r="D59" s="81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23"/>
      <c r="R59" s="13"/>
      <c r="S59" s="13"/>
      <c r="T59" s="13"/>
      <c r="U59" s="124"/>
      <c r="V59" s="13"/>
      <c r="W59" s="123"/>
      <c r="X59" s="13"/>
      <c r="Y59" s="13"/>
      <c r="Z59" s="13"/>
      <c r="AA59" s="123"/>
      <c r="AB59" s="13"/>
      <c r="AC59" s="13"/>
      <c r="AD59" s="124"/>
      <c r="AE59" s="13"/>
      <c r="AF59" s="13"/>
      <c r="AG59" s="13"/>
      <c r="AH59" s="13"/>
      <c r="AJ59" s="123"/>
      <c r="AK59" s="13"/>
      <c r="AL59" s="13"/>
      <c r="AM59" s="124"/>
      <c r="AN59" s="13"/>
      <c r="AO59" s="13"/>
      <c r="AP59" s="13"/>
      <c r="AQ59" s="13"/>
      <c r="AR59" s="13"/>
      <c r="AS59" s="123"/>
      <c r="AT59" s="13"/>
      <c r="AU59" s="124"/>
      <c r="AV59" s="13"/>
      <c r="AW59" s="13"/>
      <c r="AX59" s="13"/>
    </row>
    <row r="60" spans="1:50" s="61" customFormat="1" x14ac:dyDescent="0.25">
      <c r="D60" s="81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23"/>
      <c r="R60" s="13"/>
      <c r="S60" s="13"/>
      <c r="T60" s="13"/>
      <c r="U60" s="124"/>
      <c r="V60" s="13"/>
      <c r="W60" s="123"/>
      <c r="X60" s="13"/>
      <c r="Y60" s="13"/>
      <c r="Z60" s="13"/>
      <c r="AA60" s="123"/>
      <c r="AB60" s="13"/>
      <c r="AC60" s="13"/>
      <c r="AD60" s="124"/>
      <c r="AE60" s="13"/>
      <c r="AF60" s="13"/>
      <c r="AG60" s="13"/>
      <c r="AH60" s="13"/>
      <c r="AJ60" s="123"/>
      <c r="AK60" s="13"/>
      <c r="AL60" s="13"/>
      <c r="AM60" s="124"/>
      <c r="AN60" s="13"/>
      <c r="AO60" s="13"/>
      <c r="AP60" s="13"/>
      <c r="AQ60" s="13"/>
      <c r="AR60" s="13"/>
      <c r="AS60" s="123"/>
      <c r="AT60" s="13"/>
      <c r="AU60" s="124"/>
      <c r="AV60" s="13"/>
      <c r="AW60" s="13"/>
      <c r="AX60" s="13"/>
    </row>
    <row r="61" spans="1:50" s="61" customFormat="1" x14ac:dyDescent="0.25">
      <c r="D61" s="81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23"/>
      <c r="R61" s="13"/>
      <c r="S61" s="13"/>
      <c r="T61" s="13"/>
      <c r="U61" s="124"/>
      <c r="V61" s="13"/>
      <c r="W61" s="123"/>
      <c r="X61" s="13"/>
      <c r="Y61" s="13"/>
      <c r="Z61" s="13"/>
      <c r="AA61" s="123"/>
      <c r="AB61" s="13"/>
      <c r="AC61" s="13"/>
      <c r="AD61" s="124"/>
      <c r="AE61" s="13"/>
      <c r="AF61" s="13"/>
      <c r="AG61" s="13"/>
      <c r="AH61" s="13"/>
      <c r="AJ61" s="123"/>
      <c r="AK61" s="13"/>
      <c r="AL61" s="13"/>
      <c r="AM61" s="124"/>
      <c r="AN61" s="13"/>
      <c r="AO61" s="13"/>
      <c r="AP61" s="13"/>
      <c r="AQ61" s="13"/>
      <c r="AR61" s="13"/>
      <c r="AS61" s="123"/>
      <c r="AT61" s="13"/>
      <c r="AU61" s="124"/>
      <c r="AV61" s="13"/>
      <c r="AW61" s="13"/>
      <c r="AX61" s="13"/>
    </row>
    <row r="62" spans="1:50" s="61" customFormat="1" x14ac:dyDescent="0.25">
      <c r="D62" s="81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23"/>
      <c r="R62" s="13"/>
      <c r="S62" s="13"/>
      <c r="T62" s="13"/>
      <c r="U62" s="124"/>
      <c r="V62" s="13"/>
      <c r="W62" s="123"/>
      <c r="X62" s="13"/>
      <c r="Y62" s="13"/>
      <c r="Z62" s="13"/>
      <c r="AA62" s="123"/>
      <c r="AB62" s="13"/>
      <c r="AC62" s="13"/>
      <c r="AD62" s="124"/>
      <c r="AE62" s="13"/>
      <c r="AF62" s="13"/>
      <c r="AG62" s="13"/>
      <c r="AH62" s="13"/>
      <c r="AJ62" s="123"/>
      <c r="AK62" s="13"/>
      <c r="AL62" s="13"/>
      <c r="AM62" s="124"/>
      <c r="AN62" s="13"/>
      <c r="AO62" s="13"/>
      <c r="AP62" s="13"/>
      <c r="AQ62" s="13"/>
      <c r="AR62" s="13"/>
      <c r="AS62" s="123"/>
      <c r="AT62" s="13"/>
      <c r="AU62" s="124"/>
      <c r="AV62" s="13"/>
      <c r="AW62" s="13"/>
      <c r="AX62" s="13"/>
    </row>
    <row r="63" spans="1:50" s="61" customFormat="1" x14ac:dyDescent="0.25">
      <c r="D63" s="81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23"/>
      <c r="R63" s="13"/>
      <c r="S63" s="13"/>
      <c r="T63" s="13"/>
      <c r="U63" s="124"/>
      <c r="V63" s="13"/>
      <c r="W63" s="123"/>
      <c r="X63" s="13"/>
      <c r="Y63" s="13"/>
      <c r="Z63" s="13"/>
      <c r="AA63" s="123"/>
      <c r="AB63" s="13"/>
      <c r="AC63" s="13"/>
      <c r="AD63" s="124"/>
      <c r="AE63" s="13"/>
      <c r="AF63" s="13"/>
      <c r="AG63" s="13"/>
      <c r="AH63" s="13"/>
      <c r="AJ63" s="123"/>
      <c r="AK63" s="13"/>
      <c r="AL63" s="13"/>
      <c r="AM63" s="124"/>
      <c r="AN63" s="13"/>
      <c r="AO63" s="13"/>
      <c r="AP63" s="13"/>
      <c r="AQ63" s="13"/>
      <c r="AR63" s="13"/>
      <c r="AS63" s="123"/>
      <c r="AT63" s="13"/>
      <c r="AU63" s="124"/>
      <c r="AV63" s="13"/>
      <c r="AW63" s="13"/>
      <c r="AX63" s="13"/>
    </row>
    <row r="64" spans="1:50" s="61" customFormat="1" x14ac:dyDescent="0.25">
      <c r="D64" s="81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23"/>
      <c r="R64" s="13"/>
      <c r="S64" s="13"/>
      <c r="T64" s="13"/>
      <c r="U64" s="124"/>
      <c r="V64" s="13"/>
      <c r="W64" s="123"/>
      <c r="X64" s="13"/>
      <c r="Y64" s="13"/>
      <c r="Z64" s="13"/>
      <c r="AA64" s="123"/>
      <c r="AB64" s="13"/>
      <c r="AC64" s="13"/>
      <c r="AD64" s="124"/>
      <c r="AE64" s="13"/>
      <c r="AF64" s="13"/>
      <c r="AG64" s="13"/>
      <c r="AH64" s="13"/>
      <c r="AJ64" s="123"/>
      <c r="AK64" s="13"/>
      <c r="AL64" s="13"/>
      <c r="AM64" s="124"/>
      <c r="AN64" s="13"/>
      <c r="AO64" s="13"/>
      <c r="AP64" s="13"/>
      <c r="AQ64" s="13"/>
      <c r="AR64" s="13"/>
      <c r="AS64" s="123"/>
      <c r="AT64" s="13"/>
      <c r="AU64" s="124"/>
      <c r="AV64" s="13"/>
      <c r="AW64" s="13"/>
      <c r="AX64" s="13"/>
    </row>
    <row r="65" spans="4:50" s="61" customFormat="1" x14ac:dyDescent="0.25">
      <c r="D65" s="81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23"/>
      <c r="R65" s="13"/>
      <c r="S65" s="13"/>
      <c r="T65" s="13"/>
      <c r="U65" s="124"/>
      <c r="V65" s="13"/>
      <c r="W65" s="123"/>
      <c r="X65" s="13"/>
      <c r="Y65" s="13"/>
      <c r="Z65" s="13"/>
      <c r="AA65" s="123"/>
      <c r="AB65" s="13"/>
      <c r="AC65" s="13"/>
      <c r="AD65" s="124"/>
      <c r="AE65" s="13"/>
      <c r="AF65" s="13"/>
      <c r="AG65" s="13"/>
      <c r="AH65" s="13"/>
      <c r="AJ65" s="123"/>
      <c r="AK65" s="13"/>
      <c r="AL65" s="13"/>
      <c r="AM65" s="124"/>
      <c r="AN65" s="13"/>
      <c r="AO65" s="13"/>
      <c r="AP65" s="13"/>
      <c r="AQ65" s="13"/>
      <c r="AR65" s="13"/>
      <c r="AS65" s="123"/>
      <c r="AT65" s="13"/>
      <c r="AU65" s="124"/>
      <c r="AV65" s="13"/>
      <c r="AW65" s="13"/>
      <c r="AX65" s="13"/>
    </row>
    <row r="66" spans="4:50" s="61" customFormat="1" x14ac:dyDescent="0.25">
      <c r="D66" s="81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23"/>
      <c r="R66" s="13"/>
      <c r="S66" s="13"/>
      <c r="T66" s="13"/>
      <c r="U66" s="124"/>
      <c r="V66" s="13"/>
      <c r="W66" s="123"/>
      <c r="X66" s="13"/>
      <c r="Y66" s="13"/>
      <c r="Z66" s="13"/>
      <c r="AA66" s="123"/>
      <c r="AB66" s="13"/>
      <c r="AC66" s="13"/>
      <c r="AD66" s="124"/>
      <c r="AE66" s="13"/>
      <c r="AF66" s="13"/>
      <c r="AG66" s="13"/>
      <c r="AH66" s="13"/>
      <c r="AJ66" s="123"/>
      <c r="AK66" s="13"/>
      <c r="AL66" s="13"/>
      <c r="AM66" s="124"/>
      <c r="AN66" s="13"/>
      <c r="AO66" s="13"/>
      <c r="AP66" s="13"/>
      <c r="AQ66" s="13"/>
      <c r="AR66" s="13"/>
      <c r="AS66" s="123"/>
      <c r="AT66" s="13"/>
      <c r="AU66" s="124"/>
      <c r="AV66" s="13"/>
      <c r="AW66" s="13"/>
      <c r="AX66" s="13"/>
    </row>
    <row r="67" spans="4:50" s="61" customFormat="1" x14ac:dyDescent="0.25">
      <c r="D67" s="81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23"/>
      <c r="R67" s="13"/>
      <c r="S67" s="13"/>
      <c r="T67" s="13"/>
      <c r="U67" s="124"/>
      <c r="V67" s="13"/>
      <c r="W67" s="123"/>
      <c r="X67" s="13"/>
      <c r="Y67" s="13"/>
      <c r="Z67" s="13"/>
      <c r="AA67" s="123"/>
      <c r="AB67" s="13"/>
      <c r="AC67" s="13"/>
      <c r="AD67" s="124"/>
      <c r="AE67" s="13"/>
      <c r="AF67" s="13"/>
      <c r="AG67" s="13"/>
      <c r="AH67" s="13"/>
      <c r="AJ67" s="123"/>
      <c r="AK67" s="13"/>
      <c r="AL67" s="13"/>
      <c r="AM67" s="124"/>
      <c r="AN67" s="13"/>
      <c r="AO67" s="13"/>
      <c r="AP67" s="13"/>
      <c r="AQ67" s="13"/>
      <c r="AR67" s="13"/>
      <c r="AS67" s="123"/>
      <c r="AT67" s="13"/>
      <c r="AU67" s="124"/>
      <c r="AV67" s="13"/>
      <c r="AW67" s="13"/>
      <c r="AX67" s="13"/>
    </row>
    <row r="68" spans="4:50" s="61" customFormat="1" x14ac:dyDescent="0.25">
      <c r="D68" s="81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23"/>
      <c r="R68" s="13"/>
      <c r="S68" s="13"/>
      <c r="T68" s="13"/>
      <c r="U68" s="124"/>
      <c r="V68" s="13"/>
      <c r="W68" s="123"/>
      <c r="X68" s="13"/>
      <c r="Y68" s="13"/>
      <c r="Z68" s="13"/>
      <c r="AA68" s="123"/>
      <c r="AB68" s="13"/>
      <c r="AC68" s="13"/>
      <c r="AD68" s="124"/>
      <c r="AE68" s="13"/>
      <c r="AF68" s="13"/>
      <c r="AG68" s="13"/>
      <c r="AH68" s="13"/>
      <c r="AJ68" s="123"/>
      <c r="AK68" s="13"/>
      <c r="AL68" s="13"/>
      <c r="AM68" s="124"/>
      <c r="AN68" s="13"/>
      <c r="AO68" s="13"/>
      <c r="AP68" s="13"/>
      <c r="AQ68" s="13"/>
      <c r="AR68" s="13"/>
      <c r="AS68" s="123"/>
      <c r="AT68" s="13"/>
      <c r="AU68" s="124"/>
      <c r="AV68" s="13"/>
      <c r="AW68" s="13"/>
      <c r="AX68" s="13"/>
    </row>
    <row r="69" spans="4:50" s="61" customFormat="1" x14ac:dyDescent="0.25">
      <c r="D69" s="81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23"/>
      <c r="R69" s="13"/>
      <c r="S69" s="13"/>
      <c r="T69" s="13"/>
      <c r="U69" s="124"/>
      <c r="V69" s="13"/>
      <c r="W69" s="123"/>
      <c r="X69" s="13"/>
      <c r="Y69" s="13"/>
      <c r="Z69" s="13"/>
      <c r="AA69" s="123"/>
      <c r="AB69" s="13"/>
      <c r="AC69" s="13"/>
      <c r="AD69" s="124"/>
      <c r="AE69" s="13"/>
      <c r="AF69" s="13"/>
      <c r="AG69" s="13"/>
      <c r="AH69" s="13"/>
      <c r="AJ69" s="123"/>
      <c r="AK69" s="13"/>
      <c r="AL69" s="13"/>
      <c r="AM69" s="124"/>
      <c r="AN69" s="13"/>
      <c r="AO69" s="13"/>
      <c r="AP69" s="13"/>
      <c r="AQ69" s="13"/>
      <c r="AR69" s="13"/>
      <c r="AS69" s="123"/>
      <c r="AT69" s="13"/>
      <c r="AU69" s="124"/>
      <c r="AV69" s="13"/>
      <c r="AW69" s="13"/>
      <c r="AX69" s="13"/>
    </row>
    <row r="70" spans="4:50" s="61" customFormat="1" x14ac:dyDescent="0.25">
      <c r="D70" s="81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23"/>
      <c r="R70" s="13"/>
      <c r="S70" s="13"/>
      <c r="T70" s="13"/>
      <c r="U70" s="124"/>
      <c r="V70" s="13"/>
      <c r="W70" s="123"/>
      <c r="X70" s="13"/>
      <c r="Y70" s="13"/>
      <c r="Z70" s="13"/>
      <c r="AA70" s="123"/>
      <c r="AB70" s="13"/>
      <c r="AC70" s="13"/>
      <c r="AD70" s="124"/>
      <c r="AE70" s="13"/>
      <c r="AF70" s="13"/>
      <c r="AG70" s="13"/>
      <c r="AH70" s="13"/>
      <c r="AJ70" s="123"/>
      <c r="AK70" s="13"/>
      <c r="AL70" s="13"/>
      <c r="AM70" s="124"/>
      <c r="AN70" s="13"/>
      <c r="AO70" s="13"/>
      <c r="AP70" s="13"/>
      <c r="AQ70" s="13"/>
      <c r="AR70" s="13"/>
      <c r="AS70" s="123"/>
      <c r="AT70" s="13"/>
      <c r="AU70" s="124"/>
      <c r="AV70" s="13"/>
      <c r="AW70" s="13"/>
      <c r="AX70" s="13"/>
    </row>
    <row r="71" spans="4:50" s="61" customFormat="1" x14ac:dyDescent="0.25">
      <c r="D71" s="81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23"/>
      <c r="R71" s="13"/>
      <c r="S71" s="13"/>
      <c r="T71" s="13"/>
      <c r="U71" s="124"/>
      <c r="V71" s="13"/>
      <c r="W71" s="123"/>
      <c r="X71" s="13"/>
      <c r="Y71" s="13"/>
      <c r="Z71" s="13"/>
      <c r="AA71" s="123"/>
      <c r="AB71" s="13"/>
      <c r="AC71" s="13"/>
      <c r="AD71" s="124"/>
      <c r="AE71" s="13"/>
      <c r="AF71" s="13"/>
      <c r="AG71" s="13"/>
      <c r="AH71" s="13"/>
      <c r="AJ71" s="123"/>
      <c r="AK71" s="13"/>
      <c r="AL71" s="13"/>
      <c r="AM71" s="124"/>
      <c r="AN71" s="13"/>
      <c r="AO71" s="13"/>
      <c r="AP71" s="13"/>
      <c r="AQ71" s="13"/>
      <c r="AR71" s="13"/>
      <c r="AS71" s="123"/>
      <c r="AT71" s="13"/>
      <c r="AU71" s="124"/>
      <c r="AV71" s="13"/>
      <c r="AW71" s="13"/>
      <c r="AX71" s="13"/>
    </row>
    <row r="72" spans="4:50" s="61" customFormat="1" x14ac:dyDescent="0.25">
      <c r="D72" s="81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23"/>
      <c r="R72" s="13"/>
      <c r="S72" s="13"/>
      <c r="T72" s="13"/>
      <c r="U72" s="124"/>
      <c r="V72" s="13"/>
      <c r="W72" s="123"/>
      <c r="X72" s="13"/>
      <c r="Y72" s="13"/>
      <c r="Z72" s="13"/>
      <c r="AA72" s="123"/>
      <c r="AB72" s="13"/>
      <c r="AC72" s="13"/>
      <c r="AD72" s="124"/>
      <c r="AE72" s="13"/>
      <c r="AF72" s="13"/>
      <c r="AG72" s="13"/>
      <c r="AH72" s="13"/>
      <c r="AJ72" s="123"/>
      <c r="AK72" s="13"/>
      <c r="AL72" s="13"/>
      <c r="AM72" s="124"/>
      <c r="AN72" s="13"/>
      <c r="AO72" s="13"/>
      <c r="AP72" s="13"/>
      <c r="AQ72" s="13"/>
      <c r="AR72" s="13"/>
      <c r="AS72" s="123"/>
      <c r="AT72" s="13"/>
      <c r="AU72" s="124"/>
      <c r="AV72" s="13"/>
      <c r="AW72" s="13"/>
      <c r="AX72" s="13"/>
    </row>
    <row r="73" spans="4:50" s="61" customFormat="1" x14ac:dyDescent="0.25">
      <c r="D73" s="81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23"/>
      <c r="R73" s="13"/>
      <c r="S73" s="13"/>
      <c r="T73" s="13"/>
      <c r="U73" s="124"/>
      <c r="V73" s="13"/>
      <c r="W73" s="123"/>
      <c r="X73" s="13"/>
      <c r="Y73" s="13"/>
      <c r="Z73" s="13"/>
      <c r="AA73" s="123"/>
      <c r="AB73" s="13"/>
      <c r="AC73" s="13"/>
      <c r="AD73" s="124"/>
      <c r="AE73" s="13"/>
      <c r="AF73" s="13"/>
      <c r="AG73" s="13"/>
      <c r="AH73" s="13"/>
      <c r="AJ73" s="123"/>
      <c r="AK73" s="13"/>
      <c r="AL73" s="13"/>
      <c r="AM73" s="124"/>
      <c r="AN73" s="13"/>
      <c r="AO73" s="13"/>
      <c r="AP73" s="13"/>
      <c r="AQ73" s="13"/>
      <c r="AR73" s="13"/>
      <c r="AS73" s="123"/>
      <c r="AT73" s="13"/>
      <c r="AU73" s="124"/>
      <c r="AV73" s="13"/>
      <c r="AW73" s="13"/>
      <c r="AX73" s="13"/>
    </row>
    <row r="74" spans="4:50" s="61" customFormat="1" x14ac:dyDescent="0.25">
      <c r="D74" s="81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23"/>
      <c r="R74" s="13"/>
      <c r="S74" s="13"/>
      <c r="T74" s="13"/>
      <c r="U74" s="124"/>
      <c r="V74" s="13"/>
      <c r="W74" s="123"/>
      <c r="X74" s="13"/>
      <c r="Y74" s="13"/>
      <c r="Z74" s="13"/>
      <c r="AA74" s="123"/>
      <c r="AB74" s="13"/>
      <c r="AC74" s="13"/>
      <c r="AD74" s="124"/>
      <c r="AE74" s="13"/>
      <c r="AF74" s="13"/>
      <c r="AG74" s="13"/>
      <c r="AH74" s="13"/>
      <c r="AJ74" s="123"/>
      <c r="AK74" s="13"/>
      <c r="AL74" s="13"/>
      <c r="AM74" s="124"/>
      <c r="AN74" s="13"/>
      <c r="AO74" s="13"/>
      <c r="AP74" s="13"/>
      <c r="AQ74" s="13"/>
      <c r="AR74" s="13"/>
      <c r="AS74" s="123"/>
      <c r="AT74" s="13"/>
      <c r="AU74" s="124"/>
      <c r="AV74" s="13"/>
      <c r="AW74" s="13"/>
      <c r="AX74" s="13"/>
    </row>
    <row r="75" spans="4:50" s="61" customFormat="1" x14ac:dyDescent="0.25">
      <c r="D75" s="81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23"/>
      <c r="R75" s="13"/>
      <c r="S75" s="13"/>
      <c r="T75" s="13"/>
      <c r="U75" s="124"/>
      <c r="V75" s="13"/>
      <c r="W75" s="123"/>
      <c r="X75" s="13"/>
      <c r="Y75" s="13"/>
      <c r="Z75" s="13"/>
      <c r="AA75" s="123"/>
      <c r="AB75" s="13"/>
      <c r="AC75" s="13"/>
      <c r="AD75" s="124"/>
      <c r="AE75" s="13"/>
      <c r="AF75" s="13"/>
      <c r="AG75" s="13"/>
      <c r="AH75" s="13"/>
      <c r="AJ75" s="123"/>
      <c r="AK75" s="13"/>
      <c r="AL75" s="13"/>
      <c r="AM75" s="124"/>
      <c r="AN75" s="13"/>
      <c r="AO75" s="13"/>
      <c r="AP75" s="13"/>
      <c r="AQ75" s="13"/>
      <c r="AR75" s="13"/>
      <c r="AS75" s="123"/>
      <c r="AT75" s="13"/>
      <c r="AU75" s="124"/>
      <c r="AV75" s="13"/>
      <c r="AW75" s="13"/>
      <c r="AX75" s="13"/>
    </row>
    <row r="76" spans="4:50" s="61" customFormat="1" x14ac:dyDescent="0.25">
      <c r="D76" s="81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23"/>
      <c r="R76" s="13"/>
      <c r="S76" s="13"/>
      <c r="T76" s="13"/>
      <c r="U76" s="124"/>
      <c r="V76" s="13"/>
      <c r="W76" s="123"/>
      <c r="X76" s="13"/>
      <c r="Y76" s="13"/>
      <c r="Z76" s="13"/>
      <c r="AA76" s="123"/>
      <c r="AB76" s="13"/>
      <c r="AC76" s="13"/>
      <c r="AD76" s="124"/>
      <c r="AE76" s="13"/>
      <c r="AF76" s="13"/>
      <c r="AG76" s="13"/>
      <c r="AH76" s="13"/>
      <c r="AJ76" s="123"/>
      <c r="AK76" s="13"/>
      <c r="AL76" s="13"/>
      <c r="AM76" s="124"/>
      <c r="AN76" s="13"/>
      <c r="AO76" s="13"/>
      <c r="AP76" s="13"/>
      <c r="AQ76" s="13"/>
      <c r="AR76" s="13"/>
      <c r="AS76" s="123"/>
      <c r="AT76" s="13"/>
      <c r="AU76" s="124"/>
      <c r="AV76" s="13"/>
      <c r="AW76" s="13"/>
      <c r="AX76" s="13"/>
    </row>
    <row r="77" spans="4:50" s="61" customFormat="1" x14ac:dyDescent="0.25">
      <c r="D77" s="81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23"/>
      <c r="R77" s="13"/>
      <c r="S77" s="13"/>
      <c r="T77" s="13"/>
      <c r="U77" s="124"/>
      <c r="V77" s="13"/>
      <c r="W77" s="123"/>
      <c r="X77" s="13"/>
      <c r="Y77" s="13"/>
      <c r="Z77" s="13"/>
      <c r="AA77" s="123"/>
      <c r="AB77" s="13"/>
      <c r="AC77" s="13"/>
      <c r="AD77" s="124"/>
      <c r="AE77" s="13"/>
      <c r="AF77" s="13"/>
      <c r="AG77" s="13"/>
      <c r="AH77" s="13"/>
      <c r="AJ77" s="123"/>
      <c r="AK77" s="13"/>
      <c r="AL77" s="13"/>
      <c r="AM77" s="124"/>
      <c r="AN77" s="13"/>
      <c r="AO77" s="13"/>
      <c r="AP77" s="13"/>
      <c r="AQ77" s="13"/>
      <c r="AR77" s="13"/>
      <c r="AS77" s="123"/>
      <c r="AT77" s="13"/>
      <c r="AU77" s="124"/>
      <c r="AV77" s="13"/>
      <c r="AW77" s="13"/>
      <c r="AX77" s="13"/>
    </row>
    <row r="78" spans="4:50" s="61" customFormat="1" x14ac:dyDescent="0.25">
      <c r="D78" s="81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23"/>
      <c r="R78" s="13"/>
      <c r="S78" s="13"/>
      <c r="T78" s="13"/>
      <c r="U78" s="124"/>
      <c r="V78" s="13"/>
      <c r="W78" s="123"/>
      <c r="X78" s="13"/>
      <c r="Y78" s="13"/>
      <c r="Z78" s="13"/>
      <c r="AA78" s="123"/>
      <c r="AB78" s="13"/>
      <c r="AC78" s="13"/>
      <c r="AD78" s="124"/>
      <c r="AE78" s="13"/>
      <c r="AF78" s="13"/>
      <c r="AG78" s="13"/>
      <c r="AH78" s="13"/>
      <c r="AJ78" s="123"/>
      <c r="AK78" s="13"/>
      <c r="AL78" s="13"/>
      <c r="AM78" s="124"/>
      <c r="AN78" s="13"/>
      <c r="AO78" s="13"/>
      <c r="AP78" s="13"/>
      <c r="AQ78" s="13"/>
      <c r="AR78" s="13"/>
      <c r="AS78" s="123"/>
      <c r="AT78" s="13"/>
      <c r="AU78" s="124"/>
      <c r="AV78" s="13"/>
      <c r="AW78" s="13"/>
      <c r="AX78" s="13"/>
    </row>
    <row r="79" spans="4:50" s="61" customFormat="1" x14ac:dyDescent="0.25">
      <c r="D79" s="81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23"/>
      <c r="R79" s="13"/>
      <c r="S79" s="13"/>
      <c r="T79" s="13"/>
      <c r="U79" s="124"/>
      <c r="V79" s="13"/>
      <c r="W79" s="123"/>
      <c r="X79" s="13"/>
      <c r="Y79" s="13"/>
      <c r="Z79" s="13"/>
      <c r="AA79" s="123"/>
      <c r="AB79" s="13"/>
      <c r="AC79" s="13"/>
      <c r="AD79" s="124"/>
      <c r="AE79" s="13"/>
      <c r="AF79" s="13"/>
      <c r="AG79" s="13"/>
      <c r="AH79" s="13"/>
      <c r="AJ79" s="123"/>
      <c r="AK79" s="13"/>
      <c r="AL79" s="13"/>
      <c r="AM79" s="124"/>
      <c r="AN79" s="13"/>
      <c r="AO79" s="13"/>
      <c r="AP79" s="13"/>
      <c r="AQ79" s="13"/>
      <c r="AR79" s="13"/>
      <c r="AS79" s="123"/>
      <c r="AT79" s="13"/>
      <c r="AU79" s="124"/>
      <c r="AV79" s="13"/>
      <c r="AW79" s="13"/>
      <c r="AX79" s="13"/>
    </row>
    <row r="80" spans="4:50" s="61" customFormat="1" x14ac:dyDescent="0.25">
      <c r="D80" s="81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23"/>
      <c r="R80" s="13"/>
      <c r="S80" s="13"/>
      <c r="T80" s="13"/>
      <c r="U80" s="124"/>
      <c r="V80" s="13"/>
      <c r="W80" s="123"/>
      <c r="X80" s="13"/>
      <c r="Y80" s="13"/>
      <c r="Z80" s="13"/>
      <c r="AA80" s="123"/>
      <c r="AB80" s="13"/>
      <c r="AC80" s="13"/>
      <c r="AD80" s="124"/>
      <c r="AE80" s="13"/>
      <c r="AF80" s="13"/>
      <c r="AG80" s="13"/>
      <c r="AH80" s="13"/>
      <c r="AJ80" s="123"/>
      <c r="AK80" s="13"/>
      <c r="AL80" s="13"/>
      <c r="AM80" s="124"/>
      <c r="AN80" s="13"/>
      <c r="AO80" s="13"/>
      <c r="AP80" s="13"/>
      <c r="AQ80" s="13"/>
      <c r="AR80" s="13"/>
      <c r="AS80" s="123"/>
      <c r="AT80" s="13"/>
      <c r="AU80" s="124"/>
      <c r="AV80" s="13"/>
      <c r="AW80" s="13"/>
      <c r="AX80" s="13"/>
    </row>
    <row r="81" spans="4:50" s="61" customFormat="1" x14ac:dyDescent="0.25">
      <c r="D81" s="81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23"/>
      <c r="R81" s="13"/>
      <c r="S81" s="13"/>
      <c r="T81" s="13"/>
      <c r="U81" s="124"/>
      <c r="V81" s="13"/>
      <c r="W81" s="123"/>
      <c r="X81" s="13"/>
      <c r="Y81" s="13"/>
      <c r="Z81" s="13"/>
      <c r="AA81" s="123"/>
      <c r="AB81" s="13"/>
      <c r="AC81" s="13"/>
      <c r="AD81" s="124"/>
      <c r="AE81" s="13"/>
      <c r="AF81" s="13"/>
      <c r="AG81" s="13"/>
      <c r="AH81" s="13"/>
      <c r="AJ81" s="123"/>
      <c r="AK81" s="13"/>
      <c r="AL81" s="13"/>
      <c r="AM81" s="124"/>
      <c r="AN81" s="13"/>
      <c r="AO81" s="13"/>
      <c r="AP81" s="13"/>
      <c r="AQ81" s="13"/>
      <c r="AR81" s="13"/>
      <c r="AS81" s="123"/>
      <c r="AT81" s="13"/>
      <c r="AU81" s="124"/>
      <c r="AV81" s="13"/>
      <c r="AW81" s="13"/>
      <c r="AX81" s="13"/>
    </row>
    <row r="82" spans="4:50" s="61" customFormat="1" x14ac:dyDescent="0.25">
      <c r="D82" s="81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23"/>
      <c r="R82" s="13"/>
      <c r="S82" s="13"/>
      <c r="T82" s="13"/>
      <c r="U82" s="124"/>
      <c r="V82" s="13"/>
      <c r="W82" s="123"/>
      <c r="X82" s="13"/>
      <c r="Y82" s="13"/>
      <c r="Z82" s="13"/>
      <c r="AA82" s="123"/>
      <c r="AB82" s="13"/>
      <c r="AC82" s="13"/>
      <c r="AD82" s="124"/>
      <c r="AE82" s="13"/>
      <c r="AF82" s="13"/>
      <c r="AG82" s="13"/>
      <c r="AH82" s="13"/>
      <c r="AJ82" s="123"/>
      <c r="AK82" s="13"/>
      <c r="AL82" s="13"/>
      <c r="AM82" s="124"/>
      <c r="AN82" s="13"/>
      <c r="AO82" s="13"/>
      <c r="AP82" s="13"/>
      <c r="AQ82" s="13"/>
      <c r="AR82" s="13"/>
      <c r="AS82" s="123"/>
      <c r="AT82" s="13"/>
      <c r="AU82" s="124"/>
      <c r="AV82" s="13"/>
      <c r="AW82" s="13"/>
      <c r="AX82" s="13"/>
    </row>
    <row r="83" spans="4:50" s="61" customFormat="1" x14ac:dyDescent="0.25">
      <c r="D83" s="81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23"/>
      <c r="R83" s="13"/>
      <c r="S83" s="13"/>
      <c r="T83" s="13"/>
      <c r="U83" s="124"/>
      <c r="V83" s="13"/>
      <c r="W83" s="123"/>
      <c r="X83" s="13"/>
      <c r="Y83" s="13"/>
      <c r="Z83" s="13"/>
      <c r="AA83" s="123"/>
      <c r="AB83" s="13"/>
      <c r="AC83" s="13"/>
      <c r="AD83" s="124"/>
      <c r="AE83" s="13"/>
      <c r="AF83" s="13"/>
      <c r="AG83" s="13"/>
      <c r="AH83" s="13"/>
      <c r="AJ83" s="123"/>
      <c r="AK83" s="13"/>
      <c r="AL83" s="13"/>
      <c r="AM83" s="124"/>
      <c r="AN83" s="13"/>
      <c r="AO83" s="13"/>
      <c r="AP83" s="13"/>
      <c r="AQ83" s="13"/>
      <c r="AR83" s="13"/>
      <c r="AS83" s="123"/>
      <c r="AT83" s="13"/>
      <c r="AU83" s="124"/>
      <c r="AV83" s="13"/>
      <c r="AW83" s="13"/>
      <c r="AX83" s="13"/>
    </row>
    <row r="84" spans="4:50" s="61" customFormat="1" x14ac:dyDescent="0.25">
      <c r="D84" s="81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23"/>
      <c r="R84" s="13"/>
      <c r="S84" s="13"/>
      <c r="T84" s="13"/>
      <c r="U84" s="124"/>
      <c r="V84" s="13"/>
      <c r="W84" s="123"/>
      <c r="X84" s="13"/>
      <c r="Y84" s="13"/>
      <c r="Z84" s="13"/>
      <c r="AA84" s="123"/>
      <c r="AB84" s="13"/>
      <c r="AC84" s="13"/>
      <c r="AD84" s="124"/>
      <c r="AE84" s="13"/>
      <c r="AF84" s="13"/>
      <c r="AG84" s="13"/>
      <c r="AH84" s="13"/>
      <c r="AJ84" s="123"/>
      <c r="AK84" s="13"/>
      <c r="AL84" s="13"/>
      <c r="AM84" s="124"/>
      <c r="AN84" s="13"/>
      <c r="AO84" s="13"/>
      <c r="AP84" s="13"/>
      <c r="AQ84" s="13"/>
      <c r="AR84" s="13"/>
      <c r="AS84" s="123"/>
      <c r="AT84" s="13"/>
      <c r="AU84" s="124"/>
      <c r="AV84" s="13"/>
      <c r="AW84" s="13"/>
      <c r="AX84" s="13"/>
    </row>
    <row r="85" spans="4:50" s="61" customFormat="1" x14ac:dyDescent="0.25">
      <c r="D85" s="81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23"/>
      <c r="R85" s="13"/>
      <c r="S85" s="13"/>
      <c r="T85" s="13"/>
      <c r="U85" s="124"/>
      <c r="V85" s="13"/>
      <c r="W85" s="123"/>
      <c r="X85" s="13"/>
      <c r="Y85" s="13"/>
      <c r="Z85" s="13"/>
      <c r="AA85" s="123"/>
      <c r="AB85" s="13"/>
      <c r="AC85" s="13"/>
      <c r="AD85" s="124"/>
      <c r="AE85" s="13"/>
      <c r="AF85" s="13"/>
      <c r="AG85" s="13"/>
      <c r="AH85" s="13"/>
      <c r="AJ85" s="123"/>
      <c r="AK85" s="13"/>
      <c r="AL85" s="13"/>
      <c r="AM85" s="124"/>
      <c r="AN85" s="13"/>
      <c r="AO85" s="13"/>
      <c r="AP85" s="13"/>
      <c r="AQ85" s="13"/>
      <c r="AR85" s="13"/>
      <c r="AS85" s="123"/>
      <c r="AT85" s="13"/>
      <c r="AU85" s="124"/>
      <c r="AV85" s="13"/>
      <c r="AW85" s="13"/>
      <c r="AX85" s="13"/>
    </row>
    <row r="86" spans="4:50" s="61" customFormat="1" x14ac:dyDescent="0.25">
      <c r="D86" s="81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23"/>
      <c r="R86" s="13"/>
      <c r="S86" s="13"/>
      <c r="T86" s="13"/>
      <c r="U86" s="124"/>
      <c r="V86" s="13"/>
      <c r="W86" s="123"/>
      <c r="X86" s="13"/>
      <c r="Y86" s="13"/>
      <c r="Z86" s="13"/>
      <c r="AA86" s="123"/>
      <c r="AB86" s="13"/>
      <c r="AC86" s="13"/>
      <c r="AD86" s="124"/>
      <c r="AE86" s="13"/>
      <c r="AF86" s="13"/>
      <c r="AG86" s="13"/>
      <c r="AH86" s="13"/>
      <c r="AJ86" s="123"/>
      <c r="AK86" s="13"/>
      <c r="AL86" s="13"/>
      <c r="AM86" s="124"/>
      <c r="AN86" s="13"/>
      <c r="AO86" s="13"/>
      <c r="AP86" s="13"/>
      <c r="AQ86" s="13"/>
      <c r="AR86" s="13"/>
      <c r="AS86" s="123"/>
      <c r="AT86" s="13"/>
      <c r="AU86" s="124"/>
      <c r="AV86" s="13"/>
      <c r="AW86" s="13"/>
      <c r="AX86" s="13"/>
    </row>
    <row r="87" spans="4:50" s="61" customFormat="1" x14ac:dyDescent="0.25">
      <c r="D87" s="81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23"/>
      <c r="R87" s="13"/>
      <c r="S87" s="13"/>
      <c r="T87" s="13"/>
      <c r="U87" s="124"/>
      <c r="V87" s="13"/>
      <c r="W87" s="123"/>
      <c r="X87" s="13"/>
      <c r="Y87" s="13"/>
      <c r="Z87" s="13"/>
      <c r="AA87" s="123"/>
      <c r="AB87" s="13"/>
      <c r="AC87" s="13"/>
      <c r="AD87" s="124"/>
      <c r="AE87" s="13"/>
      <c r="AF87" s="13"/>
      <c r="AG87" s="13"/>
      <c r="AH87" s="13"/>
      <c r="AJ87" s="123"/>
      <c r="AK87" s="13"/>
      <c r="AL87" s="13"/>
      <c r="AM87" s="124"/>
      <c r="AN87" s="13"/>
      <c r="AO87" s="13"/>
      <c r="AP87" s="13"/>
      <c r="AQ87" s="13"/>
      <c r="AR87" s="13"/>
      <c r="AS87" s="123"/>
      <c r="AT87" s="13"/>
      <c r="AU87" s="124"/>
      <c r="AV87" s="13"/>
      <c r="AW87" s="13"/>
      <c r="AX87" s="13"/>
    </row>
    <row r="88" spans="4:50" s="61" customFormat="1" x14ac:dyDescent="0.25">
      <c r="D88" s="81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23"/>
      <c r="R88" s="13"/>
      <c r="S88" s="13"/>
      <c r="T88" s="13"/>
      <c r="U88" s="124"/>
      <c r="V88" s="13"/>
      <c r="W88" s="123"/>
      <c r="X88" s="13"/>
      <c r="Y88" s="13"/>
      <c r="Z88" s="13"/>
      <c r="AA88" s="123"/>
      <c r="AB88" s="13"/>
      <c r="AC88" s="13"/>
      <c r="AD88" s="124"/>
      <c r="AE88" s="13"/>
      <c r="AF88" s="13"/>
      <c r="AG88" s="13"/>
      <c r="AH88" s="13"/>
      <c r="AJ88" s="123"/>
      <c r="AK88" s="13"/>
      <c r="AL88" s="13"/>
      <c r="AM88" s="124"/>
      <c r="AN88" s="13"/>
      <c r="AO88" s="13"/>
      <c r="AP88" s="13"/>
      <c r="AQ88" s="13"/>
      <c r="AR88" s="13"/>
      <c r="AS88" s="123"/>
      <c r="AT88" s="13"/>
      <c r="AU88" s="124"/>
      <c r="AV88" s="13"/>
      <c r="AW88" s="13"/>
      <c r="AX88" s="13"/>
    </row>
    <row r="89" spans="4:50" s="61" customFormat="1" x14ac:dyDescent="0.25">
      <c r="D89" s="81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23"/>
      <c r="R89" s="13"/>
      <c r="S89" s="13"/>
      <c r="T89" s="13"/>
      <c r="U89" s="124"/>
      <c r="V89" s="13"/>
      <c r="W89" s="123"/>
      <c r="X89" s="13"/>
      <c r="Y89" s="13"/>
      <c r="Z89" s="13"/>
      <c r="AA89" s="123"/>
      <c r="AB89" s="13"/>
      <c r="AC89" s="13"/>
      <c r="AD89" s="124"/>
      <c r="AE89" s="13"/>
      <c r="AF89" s="13"/>
      <c r="AG89" s="13"/>
      <c r="AH89" s="13"/>
      <c r="AJ89" s="123"/>
      <c r="AK89" s="13"/>
      <c r="AL89" s="13"/>
      <c r="AM89" s="124"/>
      <c r="AN89" s="13"/>
      <c r="AO89" s="13"/>
      <c r="AP89" s="13"/>
      <c r="AQ89" s="13"/>
      <c r="AR89" s="13"/>
      <c r="AS89" s="123"/>
      <c r="AT89" s="13"/>
      <c r="AU89" s="124"/>
      <c r="AV89" s="13"/>
      <c r="AW89" s="13"/>
      <c r="AX89" s="13"/>
    </row>
    <row r="90" spans="4:50" s="61" customFormat="1" x14ac:dyDescent="0.25">
      <c r="D90" s="81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23"/>
      <c r="R90" s="13"/>
      <c r="S90" s="13"/>
      <c r="T90" s="13"/>
      <c r="U90" s="124"/>
      <c r="V90" s="13"/>
      <c r="W90" s="123"/>
      <c r="X90" s="13"/>
      <c r="Y90" s="13"/>
      <c r="Z90" s="13"/>
      <c r="AA90" s="123"/>
      <c r="AB90" s="13"/>
      <c r="AC90" s="13"/>
      <c r="AD90" s="124"/>
      <c r="AE90" s="13"/>
      <c r="AF90" s="13"/>
      <c r="AG90" s="13"/>
      <c r="AH90" s="13"/>
      <c r="AJ90" s="123"/>
      <c r="AK90" s="13"/>
      <c r="AL90" s="13"/>
      <c r="AM90" s="124"/>
      <c r="AN90" s="13"/>
      <c r="AO90" s="13"/>
      <c r="AP90" s="13"/>
      <c r="AQ90" s="13"/>
      <c r="AR90" s="13"/>
      <c r="AS90" s="123"/>
      <c r="AT90" s="13"/>
      <c r="AU90" s="124"/>
      <c r="AV90" s="13"/>
      <c r="AW90" s="13"/>
      <c r="AX90" s="13"/>
    </row>
    <row r="91" spans="4:50" s="61" customFormat="1" x14ac:dyDescent="0.25">
      <c r="D91" s="81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23"/>
      <c r="R91" s="13"/>
      <c r="S91" s="13"/>
      <c r="T91" s="13"/>
      <c r="U91" s="124"/>
      <c r="V91" s="13"/>
      <c r="W91" s="123"/>
      <c r="X91" s="13"/>
      <c r="Y91" s="13"/>
      <c r="Z91" s="13"/>
      <c r="AA91" s="123"/>
      <c r="AB91" s="13"/>
      <c r="AC91" s="13"/>
      <c r="AD91" s="124"/>
      <c r="AE91" s="13"/>
      <c r="AF91" s="13"/>
      <c r="AG91" s="13"/>
      <c r="AH91" s="13"/>
      <c r="AJ91" s="123"/>
      <c r="AK91" s="13"/>
      <c r="AL91" s="13"/>
      <c r="AM91" s="124"/>
      <c r="AN91" s="13"/>
      <c r="AO91" s="13"/>
      <c r="AP91" s="13"/>
      <c r="AQ91" s="13"/>
      <c r="AR91" s="13"/>
      <c r="AS91" s="123"/>
      <c r="AT91" s="13"/>
      <c r="AU91" s="124"/>
      <c r="AV91" s="13"/>
      <c r="AW91" s="13"/>
      <c r="AX91" s="13"/>
    </row>
    <row r="92" spans="4:50" s="61" customFormat="1" x14ac:dyDescent="0.25">
      <c r="D92" s="81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23"/>
      <c r="R92" s="13"/>
      <c r="S92" s="13"/>
      <c r="T92" s="13"/>
      <c r="U92" s="124"/>
      <c r="V92" s="13"/>
      <c r="W92" s="123"/>
      <c r="X92" s="13"/>
      <c r="Y92" s="13"/>
      <c r="Z92" s="13"/>
      <c r="AA92" s="123"/>
      <c r="AB92" s="13"/>
      <c r="AC92" s="13"/>
      <c r="AD92" s="124"/>
      <c r="AE92" s="13"/>
      <c r="AF92" s="13"/>
      <c r="AG92" s="13"/>
      <c r="AH92" s="13"/>
      <c r="AJ92" s="123"/>
      <c r="AK92" s="13"/>
      <c r="AL92" s="13"/>
      <c r="AM92" s="124"/>
      <c r="AN92" s="13"/>
      <c r="AO92" s="13"/>
      <c r="AP92" s="13"/>
      <c r="AQ92" s="13"/>
      <c r="AR92" s="13"/>
      <c r="AS92" s="123"/>
      <c r="AT92" s="13"/>
      <c r="AU92" s="124"/>
      <c r="AV92" s="13"/>
      <c r="AW92" s="13"/>
      <c r="AX92" s="13"/>
    </row>
    <row r="93" spans="4:50" s="61" customFormat="1" x14ac:dyDescent="0.25">
      <c r="D93" s="81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23"/>
      <c r="R93" s="13"/>
      <c r="S93" s="13"/>
      <c r="T93" s="13"/>
      <c r="U93" s="124"/>
      <c r="V93" s="13"/>
      <c r="W93" s="123"/>
      <c r="X93" s="13"/>
      <c r="Y93" s="13"/>
      <c r="Z93" s="13"/>
      <c r="AA93" s="123"/>
      <c r="AB93" s="13"/>
      <c r="AC93" s="13"/>
      <c r="AD93" s="124"/>
      <c r="AE93" s="13"/>
      <c r="AF93" s="13"/>
      <c r="AG93" s="13"/>
      <c r="AH93" s="13"/>
      <c r="AJ93" s="123"/>
      <c r="AK93" s="13"/>
      <c r="AL93" s="13"/>
      <c r="AM93" s="124"/>
      <c r="AN93" s="13"/>
      <c r="AO93" s="13"/>
      <c r="AP93" s="13"/>
      <c r="AQ93" s="13"/>
      <c r="AR93" s="13"/>
      <c r="AS93" s="123"/>
      <c r="AT93" s="13"/>
      <c r="AU93" s="124"/>
      <c r="AV93" s="13"/>
      <c r="AW93" s="13"/>
      <c r="AX93" s="13"/>
    </row>
    <row r="94" spans="4:50" s="61" customFormat="1" x14ac:dyDescent="0.25">
      <c r="D94" s="81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23"/>
      <c r="R94" s="13"/>
      <c r="S94" s="13"/>
      <c r="T94" s="13"/>
      <c r="U94" s="124"/>
      <c r="V94" s="13"/>
      <c r="W94" s="123"/>
      <c r="X94" s="13"/>
      <c r="Y94" s="13"/>
      <c r="Z94" s="13"/>
      <c r="AA94" s="123"/>
      <c r="AB94" s="13"/>
      <c r="AC94" s="13"/>
      <c r="AD94" s="124"/>
      <c r="AE94" s="13"/>
      <c r="AF94" s="13"/>
      <c r="AG94" s="13"/>
      <c r="AH94" s="13"/>
      <c r="AJ94" s="123"/>
      <c r="AK94" s="13"/>
      <c r="AL94" s="13"/>
      <c r="AM94" s="124"/>
      <c r="AN94" s="13"/>
      <c r="AO94" s="13"/>
      <c r="AP94" s="13"/>
      <c r="AQ94" s="13"/>
      <c r="AR94" s="13"/>
      <c r="AS94" s="123"/>
      <c r="AT94" s="13"/>
      <c r="AU94" s="124"/>
      <c r="AV94" s="13"/>
      <c r="AW94" s="13"/>
      <c r="AX94" s="13"/>
    </row>
    <row r="95" spans="4:50" s="61" customFormat="1" x14ac:dyDescent="0.25">
      <c r="D95" s="81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23"/>
      <c r="R95" s="13"/>
      <c r="S95" s="13"/>
      <c r="T95" s="13"/>
      <c r="U95" s="124"/>
      <c r="V95" s="13"/>
      <c r="W95" s="123"/>
      <c r="X95" s="13"/>
      <c r="Y95" s="13"/>
      <c r="Z95" s="13"/>
      <c r="AA95" s="123"/>
      <c r="AB95" s="13"/>
      <c r="AC95" s="13"/>
      <c r="AD95" s="124"/>
      <c r="AE95" s="13"/>
      <c r="AF95" s="13"/>
      <c r="AG95" s="13"/>
      <c r="AH95" s="13"/>
      <c r="AJ95" s="123"/>
      <c r="AK95" s="13"/>
      <c r="AL95" s="13"/>
      <c r="AM95" s="124"/>
      <c r="AN95" s="13"/>
      <c r="AO95" s="13"/>
      <c r="AP95" s="13"/>
      <c r="AQ95" s="13"/>
      <c r="AR95" s="13"/>
      <c r="AS95" s="123"/>
      <c r="AT95" s="13"/>
      <c r="AU95" s="124"/>
      <c r="AV95" s="13"/>
      <c r="AW95" s="13"/>
      <c r="AX95" s="13"/>
    </row>
    <row r="96" spans="4:50" s="61" customFormat="1" x14ac:dyDescent="0.25">
      <c r="D96" s="81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23"/>
      <c r="R96" s="13"/>
      <c r="S96" s="13"/>
      <c r="T96" s="13"/>
      <c r="U96" s="124"/>
      <c r="V96" s="13"/>
      <c r="W96" s="123"/>
      <c r="X96" s="13"/>
      <c r="Y96" s="13"/>
      <c r="Z96" s="13"/>
      <c r="AA96" s="123"/>
      <c r="AB96" s="13"/>
      <c r="AC96" s="13"/>
      <c r="AD96" s="124"/>
      <c r="AE96" s="13"/>
      <c r="AF96" s="13"/>
      <c r="AG96" s="13"/>
      <c r="AH96" s="13"/>
      <c r="AJ96" s="123"/>
      <c r="AK96" s="13"/>
      <c r="AL96" s="13"/>
      <c r="AM96" s="124"/>
      <c r="AN96" s="13"/>
      <c r="AO96" s="13"/>
      <c r="AP96" s="13"/>
      <c r="AQ96" s="13"/>
      <c r="AR96" s="13"/>
      <c r="AS96" s="123"/>
      <c r="AT96" s="13"/>
      <c r="AU96" s="124"/>
      <c r="AV96" s="13"/>
      <c r="AW96" s="13"/>
      <c r="AX96" s="13"/>
    </row>
    <row r="97" spans="4:50" s="61" customFormat="1" x14ac:dyDescent="0.25">
      <c r="D97" s="81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23"/>
      <c r="R97" s="13"/>
      <c r="S97" s="13"/>
      <c r="T97" s="13"/>
      <c r="U97" s="124"/>
      <c r="V97" s="13"/>
      <c r="W97" s="123"/>
      <c r="X97" s="13"/>
      <c r="Y97" s="13"/>
      <c r="Z97" s="13"/>
      <c r="AA97" s="123"/>
      <c r="AB97" s="13"/>
      <c r="AC97" s="13"/>
      <c r="AD97" s="124"/>
      <c r="AE97" s="13"/>
      <c r="AF97" s="13"/>
      <c r="AG97" s="13"/>
      <c r="AH97" s="13"/>
      <c r="AJ97" s="123"/>
      <c r="AK97" s="13"/>
      <c r="AL97" s="13"/>
      <c r="AM97" s="124"/>
      <c r="AN97" s="13"/>
      <c r="AO97" s="13"/>
      <c r="AP97" s="13"/>
      <c r="AQ97" s="13"/>
      <c r="AR97" s="13"/>
      <c r="AS97" s="123"/>
      <c r="AT97" s="13"/>
      <c r="AU97" s="124"/>
      <c r="AV97" s="13"/>
      <c r="AW97" s="13"/>
      <c r="AX97" s="13"/>
    </row>
    <row r="98" spans="4:50" s="61" customFormat="1" x14ac:dyDescent="0.25">
      <c r="D98" s="81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23"/>
      <c r="R98" s="13"/>
      <c r="S98" s="13"/>
      <c r="T98" s="13"/>
      <c r="U98" s="124"/>
      <c r="V98" s="13"/>
      <c r="W98" s="123"/>
      <c r="X98" s="13"/>
      <c r="Y98" s="13"/>
      <c r="Z98" s="13"/>
      <c r="AA98" s="123"/>
      <c r="AB98" s="13"/>
      <c r="AC98" s="13"/>
      <c r="AD98" s="124"/>
      <c r="AE98" s="13"/>
      <c r="AF98" s="13"/>
      <c r="AG98" s="13"/>
      <c r="AH98" s="13"/>
      <c r="AJ98" s="123"/>
      <c r="AK98" s="13"/>
      <c r="AL98" s="13"/>
      <c r="AM98" s="124"/>
      <c r="AN98" s="13"/>
      <c r="AO98" s="13"/>
      <c r="AP98" s="13"/>
      <c r="AQ98" s="13"/>
      <c r="AR98" s="13"/>
      <c r="AS98" s="123"/>
      <c r="AT98" s="13"/>
      <c r="AU98" s="124"/>
      <c r="AV98" s="13"/>
      <c r="AW98" s="13"/>
      <c r="AX98" s="13"/>
    </row>
    <row r="99" spans="4:50" s="61" customFormat="1" x14ac:dyDescent="0.25">
      <c r="D99" s="81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23"/>
      <c r="R99" s="13"/>
      <c r="S99" s="13"/>
      <c r="T99" s="13"/>
      <c r="U99" s="124"/>
      <c r="V99" s="13"/>
      <c r="W99" s="123"/>
      <c r="X99" s="13"/>
      <c r="Y99" s="13"/>
      <c r="Z99" s="13"/>
      <c r="AA99" s="123"/>
      <c r="AB99" s="13"/>
      <c r="AC99" s="13"/>
      <c r="AD99" s="124"/>
      <c r="AE99" s="13"/>
      <c r="AF99" s="13"/>
      <c r="AG99" s="13"/>
      <c r="AH99" s="13"/>
      <c r="AJ99" s="123"/>
      <c r="AK99" s="13"/>
      <c r="AL99" s="13"/>
      <c r="AM99" s="124"/>
      <c r="AN99" s="13"/>
      <c r="AO99" s="13"/>
      <c r="AP99" s="13"/>
      <c r="AQ99" s="13"/>
      <c r="AR99" s="13"/>
      <c r="AS99" s="123"/>
      <c r="AT99" s="13"/>
      <c r="AU99" s="124"/>
      <c r="AV99" s="13"/>
      <c r="AW99" s="13"/>
      <c r="AX99" s="13"/>
    </row>
    <row r="100" spans="4:50" s="61" customFormat="1" x14ac:dyDescent="0.25">
      <c r="D100" s="81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23"/>
      <c r="R100" s="13"/>
      <c r="S100" s="13"/>
      <c r="T100" s="13"/>
      <c r="U100" s="124"/>
      <c r="V100" s="13"/>
      <c r="W100" s="123"/>
      <c r="X100" s="13"/>
      <c r="Y100" s="13"/>
      <c r="Z100" s="13"/>
      <c r="AA100" s="123"/>
      <c r="AB100" s="13"/>
      <c r="AC100" s="13"/>
      <c r="AD100" s="124"/>
      <c r="AE100" s="13"/>
      <c r="AF100" s="13"/>
      <c r="AG100" s="13"/>
      <c r="AH100" s="13"/>
      <c r="AJ100" s="123"/>
      <c r="AK100" s="13"/>
      <c r="AL100" s="13"/>
      <c r="AM100" s="124"/>
      <c r="AN100" s="13"/>
      <c r="AO100" s="13"/>
      <c r="AP100" s="13"/>
      <c r="AQ100" s="13"/>
      <c r="AR100" s="13"/>
      <c r="AS100" s="123"/>
      <c r="AT100" s="13"/>
      <c r="AU100" s="124"/>
      <c r="AV100" s="13"/>
      <c r="AW100" s="13"/>
      <c r="AX100" s="13"/>
    </row>
    <row r="101" spans="4:50" s="61" customFormat="1" x14ac:dyDescent="0.25">
      <c r="D101" s="81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23"/>
      <c r="R101" s="13"/>
      <c r="S101" s="13"/>
      <c r="T101" s="13"/>
      <c r="U101" s="124"/>
      <c r="V101" s="13"/>
      <c r="W101" s="123"/>
      <c r="X101" s="13"/>
      <c r="Y101" s="13"/>
      <c r="Z101" s="13"/>
      <c r="AA101" s="123"/>
      <c r="AB101" s="13"/>
      <c r="AC101" s="13"/>
      <c r="AD101" s="124"/>
      <c r="AE101" s="13"/>
      <c r="AF101" s="13"/>
      <c r="AG101" s="13"/>
      <c r="AH101" s="13"/>
      <c r="AJ101" s="123"/>
      <c r="AK101" s="13"/>
      <c r="AL101" s="13"/>
      <c r="AM101" s="124"/>
      <c r="AN101" s="13"/>
      <c r="AO101" s="13"/>
      <c r="AP101" s="13"/>
      <c r="AQ101" s="13"/>
      <c r="AR101" s="13"/>
      <c r="AS101" s="123"/>
      <c r="AT101" s="13"/>
      <c r="AU101" s="124"/>
      <c r="AV101" s="13"/>
      <c r="AW101" s="13"/>
      <c r="AX101" s="13"/>
    </row>
    <row r="102" spans="4:50" s="61" customFormat="1" x14ac:dyDescent="0.25">
      <c r="D102" s="81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23"/>
      <c r="R102" s="13"/>
      <c r="S102" s="13"/>
      <c r="T102" s="13"/>
      <c r="U102" s="124"/>
      <c r="V102" s="13"/>
      <c r="W102" s="123"/>
      <c r="X102" s="13"/>
      <c r="Y102" s="13"/>
      <c r="Z102" s="13"/>
      <c r="AA102" s="123"/>
      <c r="AB102" s="13"/>
      <c r="AC102" s="13"/>
      <c r="AD102" s="124"/>
      <c r="AE102" s="13"/>
      <c r="AF102" s="13"/>
      <c r="AG102" s="13"/>
      <c r="AH102" s="13"/>
      <c r="AJ102" s="123"/>
      <c r="AK102" s="13"/>
      <c r="AL102" s="13"/>
      <c r="AM102" s="124"/>
      <c r="AN102" s="13"/>
      <c r="AO102" s="13"/>
      <c r="AP102" s="13"/>
      <c r="AQ102" s="13"/>
      <c r="AR102" s="13"/>
      <c r="AS102" s="123"/>
      <c r="AT102" s="13"/>
      <c r="AU102" s="124"/>
      <c r="AV102" s="13"/>
      <c r="AW102" s="13"/>
      <c r="AX102" s="13"/>
    </row>
    <row r="103" spans="4:50" s="61" customFormat="1" x14ac:dyDescent="0.25">
      <c r="D103" s="81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23"/>
      <c r="R103" s="13"/>
      <c r="S103" s="13"/>
      <c r="T103" s="13"/>
      <c r="U103" s="124"/>
      <c r="V103" s="13"/>
      <c r="W103" s="123"/>
      <c r="X103" s="13"/>
      <c r="Y103" s="13"/>
      <c r="Z103" s="13"/>
      <c r="AA103" s="123"/>
      <c r="AB103" s="13"/>
      <c r="AC103" s="13"/>
      <c r="AD103" s="124"/>
      <c r="AE103" s="13"/>
      <c r="AF103" s="13"/>
      <c r="AG103" s="13"/>
      <c r="AH103" s="13"/>
      <c r="AJ103" s="123"/>
      <c r="AK103" s="13"/>
      <c r="AL103" s="13"/>
      <c r="AM103" s="124"/>
      <c r="AN103" s="13"/>
      <c r="AO103" s="13"/>
      <c r="AP103" s="13"/>
      <c r="AQ103" s="13"/>
      <c r="AR103" s="13"/>
      <c r="AS103" s="123"/>
      <c r="AT103" s="13"/>
      <c r="AU103" s="124"/>
      <c r="AV103" s="13"/>
      <c r="AW103" s="13"/>
      <c r="AX103" s="13"/>
    </row>
    <row r="104" spans="4:50" s="61" customFormat="1" x14ac:dyDescent="0.25">
      <c r="D104" s="81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23"/>
      <c r="R104" s="13"/>
      <c r="S104" s="13"/>
      <c r="T104" s="13"/>
      <c r="U104" s="124"/>
      <c r="V104" s="13"/>
      <c r="W104" s="123"/>
      <c r="X104" s="13"/>
      <c r="Y104" s="13"/>
      <c r="Z104" s="13"/>
      <c r="AA104" s="123"/>
      <c r="AB104" s="13"/>
      <c r="AC104" s="13"/>
      <c r="AD104" s="124"/>
      <c r="AE104" s="13"/>
      <c r="AF104" s="13"/>
      <c r="AG104" s="13"/>
      <c r="AH104" s="13"/>
      <c r="AJ104" s="123"/>
      <c r="AK104" s="13"/>
      <c r="AL104" s="13"/>
      <c r="AM104" s="124"/>
      <c r="AN104" s="13"/>
      <c r="AO104" s="13"/>
      <c r="AP104" s="13"/>
      <c r="AQ104" s="13"/>
      <c r="AR104" s="13"/>
      <c r="AS104" s="123"/>
      <c r="AT104" s="13"/>
      <c r="AU104" s="124"/>
      <c r="AV104" s="13"/>
      <c r="AW104" s="13"/>
      <c r="AX104" s="13"/>
    </row>
    <row r="105" spans="4:50" s="61" customFormat="1" x14ac:dyDescent="0.25">
      <c r="D105" s="81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23"/>
      <c r="R105" s="13"/>
      <c r="S105" s="13"/>
      <c r="T105" s="13"/>
      <c r="U105" s="124"/>
      <c r="V105" s="13"/>
      <c r="W105" s="123"/>
      <c r="X105" s="13"/>
      <c r="Y105" s="13"/>
      <c r="Z105" s="13"/>
      <c r="AA105" s="123"/>
      <c r="AB105" s="13"/>
      <c r="AC105" s="13"/>
      <c r="AD105" s="124"/>
      <c r="AE105" s="13"/>
      <c r="AF105" s="13"/>
      <c r="AG105" s="13"/>
      <c r="AH105" s="13"/>
      <c r="AJ105" s="123"/>
      <c r="AK105" s="13"/>
      <c r="AL105" s="13"/>
      <c r="AM105" s="124"/>
      <c r="AN105" s="13"/>
      <c r="AO105" s="13"/>
      <c r="AP105" s="13"/>
      <c r="AQ105" s="13"/>
      <c r="AR105" s="13"/>
      <c r="AS105" s="123"/>
      <c r="AT105" s="13"/>
      <c r="AU105" s="124"/>
      <c r="AV105" s="13"/>
      <c r="AW105" s="13"/>
      <c r="AX105" s="13"/>
    </row>
    <row r="106" spans="4:50" s="61" customFormat="1" x14ac:dyDescent="0.25">
      <c r="D106" s="81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23"/>
      <c r="R106" s="13"/>
      <c r="S106" s="13"/>
      <c r="T106" s="13"/>
      <c r="U106" s="124"/>
      <c r="V106" s="13"/>
      <c r="W106" s="123"/>
      <c r="X106" s="13"/>
      <c r="Y106" s="13"/>
      <c r="Z106" s="13"/>
      <c r="AA106" s="123"/>
      <c r="AB106" s="13"/>
      <c r="AC106" s="13"/>
      <c r="AD106" s="124"/>
      <c r="AE106" s="13"/>
      <c r="AF106" s="13"/>
      <c r="AG106" s="13"/>
      <c r="AH106" s="13"/>
      <c r="AJ106" s="123"/>
      <c r="AK106" s="13"/>
      <c r="AL106" s="13"/>
      <c r="AM106" s="124"/>
      <c r="AN106" s="13"/>
      <c r="AO106" s="13"/>
      <c r="AP106" s="13"/>
      <c r="AQ106" s="13"/>
      <c r="AR106" s="13"/>
      <c r="AS106" s="123"/>
      <c r="AT106" s="13"/>
      <c r="AU106" s="124"/>
      <c r="AV106" s="13"/>
      <c r="AW106" s="13"/>
      <c r="AX106" s="13"/>
    </row>
    <row r="107" spans="4:50" s="61" customFormat="1" x14ac:dyDescent="0.25">
      <c r="D107" s="81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23"/>
      <c r="R107" s="13"/>
      <c r="S107" s="13"/>
      <c r="T107" s="13"/>
      <c r="U107" s="124"/>
      <c r="V107" s="13"/>
      <c r="W107" s="123"/>
      <c r="X107" s="13"/>
      <c r="Y107" s="13"/>
      <c r="Z107" s="13"/>
      <c r="AA107" s="123"/>
      <c r="AB107" s="13"/>
      <c r="AC107" s="13"/>
      <c r="AD107" s="124"/>
      <c r="AE107" s="13"/>
      <c r="AF107" s="13"/>
      <c r="AG107" s="13"/>
      <c r="AH107" s="13"/>
      <c r="AJ107" s="123"/>
      <c r="AK107" s="13"/>
      <c r="AL107" s="13"/>
      <c r="AM107" s="124"/>
      <c r="AN107" s="13"/>
      <c r="AO107" s="13"/>
      <c r="AP107" s="13"/>
      <c r="AQ107" s="13"/>
      <c r="AR107" s="13"/>
      <c r="AS107" s="123"/>
      <c r="AT107" s="13"/>
      <c r="AU107" s="124"/>
      <c r="AV107" s="13"/>
      <c r="AW107" s="13"/>
      <c r="AX107" s="13"/>
    </row>
    <row r="108" spans="4:50" s="61" customFormat="1" x14ac:dyDescent="0.25">
      <c r="D108" s="81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23"/>
      <c r="R108" s="13"/>
      <c r="S108" s="13"/>
      <c r="T108" s="13"/>
      <c r="U108" s="124"/>
      <c r="V108" s="13"/>
      <c r="W108" s="123"/>
      <c r="X108" s="13"/>
      <c r="Y108" s="13"/>
      <c r="Z108" s="13"/>
      <c r="AA108" s="123"/>
      <c r="AB108" s="13"/>
      <c r="AC108" s="13"/>
      <c r="AD108" s="124"/>
      <c r="AE108" s="13"/>
      <c r="AF108" s="13"/>
      <c r="AG108" s="13"/>
      <c r="AH108" s="13"/>
      <c r="AJ108" s="123"/>
      <c r="AK108" s="13"/>
      <c r="AL108" s="13"/>
      <c r="AM108" s="124"/>
      <c r="AN108" s="13"/>
      <c r="AO108" s="13"/>
      <c r="AP108" s="13"/>
      <c r="AQ108" s="13"/>
      <c r="AR108" s="13"/>
      <c r="AS108" s="123"/>
      <c r="AT108" s="13"/>
      <c r="AU108" s="124"/>
      <c r="AV108" s="13"/>
      <c r="AW108" s="13"/>
      <c r="AX108" s="13"/>
    </row>
    <row r="109" spans="4:50" s="61" customFormat="1" x14ac:dyDescent="0.25">
      <c r="D109" s="81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23"/>
      <c r="R109" s="13"/>
      <c r="S109" s="13"/>
      <c r="T109" s="13"/>
      <c r="U109" s="124"/>
      <c r="V109" s="13"/>
      <c r="W109" s="123"/>
      <c r="X109" s="13"/>
      <c r="Y109" s="13"/>
      <c r="Z109" s="13"/>
      <c r="AA109" s="123"/>
      <c r="AB109" s="13"/>
      <c r="AC109" s="13"/>
      <c r="AD109" s="124"/>
      <c r="AE109" s="13"/>
      <c r="AF109" s="13"/>
      <c r="AG109" s="13"/>
      <c r="AH109" s="13"/>
      <c r="AJ109" s="123"/>
      <c r="AK109" s="13"/>
      <c r="AL109" s="13"/>
      <c r="AM109" s="124"/>
      <c r="AN109" s="13"/>
      <c r="AO109" s="13"/>
      <c r="AP109" s="13"/>
      <c r="AQ109" s="13"/>
      <c r="AR109" s="13"/>
      <c r="AS109" s="123"/>
      <c r="AT109" s="13"/>
      <c r="AU109" s="124"/>
      <c r="AV109" s="13"/>
      <c r="AW109" s="13"/>
      <c r="AX109" s="13"/>
    </row>
    <row r="110" spans="4:50" s="61" customFormat="1" x14ac:dyDescent="0.25">
      <c r="D110" s="81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23"/>
      <c r="R110" s="13"/>
      <c r="S110" s="13"/>
      <c r="T110" s="13"/>
      <c r="U110" s="124"/>
      <c r="V110" s="13"/>
      <c r="W110" s="123"/>
      <c r="X110" s="13"/>
      <c r="Y110" s="13"/>
      <c r="Z110" s="13"/>
      <c r="AA110" s="123"/>
      <c r="AB110" s="13"/>
      <c r="AC110" s="13"/>
      <c r="AD110" s="124"/>
      <c r="AE110" s="13"/>
      <c r="AF110" s="13"/>
      <c r="AG110" s="13"/>
      <c r="AH110" s="13"/>
      <c r="AJ110" s="123"/>
      <c r="AK110" s="13"/>
      <c r="AL110" s="13"/>
      <c r="AM110" s="124"/>
      <c r="AN110" s="13"/>
      <c r="AO110" s="13"/>
      <c r="AP110" s="13"/>
      <c r="AQ110" s="13"/>
      <c r="AR110" s="13"/>
      <c r="AS110" s="123"/>
      <c r="AT110" s="13"/>
      <c r="AU110" s="124"/>
      <c r="AV110" s="13"/>
      <c r="AW110" s="13"/>
      <c r="AX110" s="13"/>
    </row>
    <row r="111" spans="4:50" s="61" customFormat="1" x14ac:dyDescent="0.25">
      <c r="D111" s="81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23"/>
      <c r="R111" s="13"/>
      <c r="S111" s="13"/>
      <c r="T111" s="13"/>
      <c r="U111" s="124"/>
      <c r="V111" s="13"/>
      <c r="W111" s="123"/>
      <c r="X111" s="13"/>
      <c r="Y111" s="13"/>
      <c r="Z111" s="13"/>
      <c r="AA111" s="123"/>
      <c r="AB111" s="13"/>
      <c r="AC111" s="13"/>
      <c r="AD111" s="124"/>
      <c r="AE111" s="13"/>
      <c r="AF111" s="13"/>
      <c r="AG111" s="13"/>
      <c r="AH111" s="13"/>
      <c r="AJ111" s="123"/>
      <c r="AK111" s="13"/>
      <c r="AL111" s="13"/>
      <c r="AM111" s="124"/>
      <c r="AN111" s="13"/>
      <c r="AO111" s="13"/>
      <c r="AP111" s="13"/>
      <c r="AQ111" s="13"/>
      <c r="AR111" s="13"/>
      <c r="AS111" s="123"/>
      <c r="AT111" s="13"/>
      <c r="AU111" s="124"/>
      <c r="AV111" s="13"/>
      <c r="AW111" s="13"/>
      <c r="AX111" s="13"/>
    </row>
    <row r="112" spans="4:50" s="61" customFormat="1" x14ac:dyDescent="0.25">
      <c r="D112" s="81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23"/>
      <c r="R112" s="13"/>
      <c r="S112" s="13"/>
      <c r="T112" s="13"/>
      <c r="U112" s="124"/>
      <c r="V112" s="13"/>
      <c r="W112" s="123"/>
      <c r="X112" s="13"/>
      <c r="Y112" s="13"/>
      <c r="Z112" s="13"/>
      <c r="AA112" s="123"/>
      <c r="AB112" s="13"/>
      <c r="AC112" s="13"/>
      <c r="AD112" s="124"/>
      <c r="AE112" s="13"/>
      <c r="AF112" s="13"/>
      <c r="AG112" s="13"/>
      <c r="AH112" s="13"/>
      <c r="AJ112" s="123"/>
      <c r="AK112" s="13"/>
      <c r="AL112" s="13"/>
      <c r="AM112" s="124"/>
      <c r="AN112" s="13"/>
      <c r="AO112" s="13"/>
      <c r="AP112" s="13"/>
      <c r="AQ112" s="13"/>
      <c r="AR112" s="13"/>
      <c r="AS112" s="123"/>
      <c r="AT112" s="13"/>
      <c r="AU112" s="124"/>
      <c r="AV112" s="13"/>
      <c r="AW112" s="13"/>
      <c r="AX112" s="13"/>
    </row>
    <row r="113" spans="4:50" s="61" customFormat="1" x14ac:dyDescent="0.25">
      <c r="D113" s="81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23"/>
      <c r="R113" s="13"/>
      <c r="S113" s="13"/>
      <c r="T113" s="13"/>
      <c r="U113" s="124"/>
      <c r="V113" s="13"/>
      <c r="W113" s="123"/>
      <c r="X113" s="13"/>
      <c r="Y113" s="13"/>
      <c r="Z113" s="13"/>
      <c r="AA113" s="123"/>
      <c r="AB113" s="13"/>
      <c r="AC113" s="13"/>
      <c r="AD113" s="124"/>
      <c r="AE113" s="13"/>
      <c r="AF113" s="13"/>
      <c r="AG113" s="13"/>
      <c r="AH113" s="13"/>
      <c r="AJ113" s="123"/>
      <c r="AK113" s="13"/>
      <c r="AL113" s="13"/>
      <c r="AM113" s="124"/>
      <c r="AN113" s="13"/>
      <c r="AO113" s="13"/>
      <c r="AP113" s="13"/>
      <c r="AQ113" s="13"/>
      <c r="AR113" s="13"/>
      <c r="AS113" s="123"/>
      <c r="AT113" s="13"/>
      <c r="AU113" s="124"/>
      <c r="AV113" s="13"/>
      <c r="AW113" s="13"/>
      <c r="AX113" s="13"/>
    </row>
    <row r="114" spans="4:50" s="61" customFormat="1" x14ac:dyDescent="0.25">
      <c r="D114" s="81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23"/>
      <c r="R114" s="13"/>
      <c r="S114" s="13"/>
      <c r="T114" s="13"/>
      <c r="U114" s="124"/>
      <c r="V114" s="13"/>
      <c r="W114" s="123"/>
      <c r="X114" s="13"/>
      <c r="Y114" s="13"/>
      <c r="Z114" s="13"/>
      <c r="AA114" s="123"/>
      <c r="AB114" s="13"/>
      <c r="AC114" s="13"/>
      <c r="AD114" s="124"/>
      <c r="AE114" s="13"/>
      <c r="AF114" s="13"/>
      <c r="AG114" s="13"/>
      <c r="AH114" s="13"/>
      <c r="AJ114" s="123"/>
      <c r="AK114" s="13"/>
      <c r="AL114" s="13"/>
      <c r="AM114" s="124"/>
      <c r="AN114" s="13"/>
      <c r="AO114" s="13"/>
      <c r="AP114" s="13"/>
      <c r="AQ114" s="13"/>
      <c r="AR114" s="13"/>
      <c r="AS114" s="123"/>
      <c r="AT114" s="13"/>
      <c r="AU114" s="124"/>
      <c r="AV114" s="13"/>
      <c r="AW114" s="13"/>
      <c r="AX114" s="13"/>
    </row>
    <row r="115" spans="4:50" s="61" customFormat="1" x14ac:dyDescent="0.25">
      <c r="D115" s="81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23"/>
      <c r="R115" s="13"/>
      <c r="S115" s="13"/>
      <c r="T115" s="13"/>
      <c r="U115" s="124"/>
      <c r="V115" s="13"/>
      <c r="W115" s="123"/>
      <c r="X115" s="13"/>
      <c r="Y115" s="13"/>
      <c r="Z115" s="13"/>
      <c r="AA115" s="123"/>
      <c r="AB115" s="13"/>
      <c r="AC115" s="13"/>
      <c r="AD115" s="124"/>
      <c r="AE115" s="13"/>
      <c r="AF115" s="13"/>
      <c r="AG115" s="13"/>
      <c r="AH115" s="13"/>
      <c r="AJ115" s="123"/>
      <c r="AK115" s="13"/>
      <c r="AL115" s="13"/>
      <c r="AM115" s="124"/>
      <c r="AN115" s="13"/>
      <c r="AO115" s="13"/>
      <c r="AP115" s="13"/>
      <c r="AQ115" s="13"/>
      <c r="AR115" s="13"/>
      <c r="AS115" s="123"/>
      <c r="AT115" s="13"/>
      <c r="AU115" s="124"/>
      <c r="AV115" s="13"/>
      <c r="AW115" s="13"/>
      <c r="AX115" s="13"/>
    </row>
    <row r="116" spans="4:50" s="61" customFormat="1" x14ac:dyDescent="0.25">
      <c r="D116" s="81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23"/>
      <c r="R116" s="13"/>
      <c r="S116" s="13"/>
      <c r="T116" s="13"/>
      <c r="U116" s="124"/>
      <c r="V116" s="13"/>
      <c r="W116" s="123"/>
      <c r="X116" s="13"/>
      <c r="Y116" s="13"/>
      <c r="Z116" s="13"/>
      <c r="AA116" s="123"/>
      <c r="AB116" s="13"/>
      <c r="AC116" s="13"/>
      <c r="AD116" s="124"/>
      <c r="AE116" s="13"/>
      <c r="AF116" s="13"/>
      <c r="AG116" s="13"/>
      <c r="AH116" s="13"/>
      <c r="AJ116" s="123"/>
      <c r="AK116" s="13"/>
      <c r="AL116" s="13"/>
      <c r="AM116" s="124"/>
      <c r="AN116" s="13"/>
      <c r="AO116" s="13"/>
      <c r="AP116" s="13"/>
      <c r="AQ116" s="13"/>
      <c r="AR116" s="13"/>
      <c r="AS116" s="123"/>
      <c r="AT116" s="13"/>
      <c r="AU116" s="124"/>
      <c r="AV116" s="13"/>
      <c r="AW116" s="13"/>
      <c r="AX116" s="13"/>
    </row>
    <row r="117" spans="4:50" s="61" customFormat="1" x14ac:dyDescent="0.25">
      <c r="D117" s="81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23"/>
      <c r="R117" s="13"/>
      <c r="S117" s="13"/>
      <c r="T117" s="13"/>
      <c r="U117" s="124"/>
      <c r="V117" s="13"/>
      <c r="W117" s="123"/>
      <c r="X117" s="13"/>
      <c r="Y117" s="13"/>
      <c r="Z117" s="13"/>
      <c r="AA117" s="123"/>
      <c r="AB117" s="13"/>
      <c r="AC117" s="13"/>
      <c r="AD117" s="124"/>
      <c r="AE117" s="13"/>
      <c r="AF117" s="13"/>
      <c r="AG117" s="13"/>
      <c r="AH117" s="13"/>
      <c r="AJ117" s="123"/>
      <c r="AK117" s="13"/>
      <c r="AL117" s="13"/>
      <c r="AM117" s="124"/>
      <c r="AN117" s="13"/>
      <c r="AO117" s="13"/>
      <c r="AP117" s="13"/>
      <c r="AQ117" s="13"/>
      <c r="AR117" s="13"/>
      <c r="AS117" s="123"/>
      <c r="AT117" s="13"/>
      <c r="AU117" s="124"/>
      <c r="AV117" s="13"/>
      <c r="AW117" s="13"/>
      <c r="AX117" s="13"/>
    </row>
    <row r="118" spans="4:50" s="61" customFormat="1" x14ac:dyDescent="0.25">
      <c r="D118" s="81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23"/>
      <c r="R118" s="13"/>
      <c r="S118" s="13"/>
      <c r="T118" s="13"/>
      <c r="U118" s="124"/>
      <c r="V118" s="13"/>
      <c r="W118" s="123"/>
      <c r="X118" s="13"/>
      <c r="Y118" s="13"/>
      <c r="Z118" s="13"/>
      <c r="AA118" s="123"/>
      <c r="AB118" s="13"/>
      <c r="AC118" s="13"/>
      <c r="AD118" s="124"/>
      <c r="AE118" s="13"/>
      <c r="AF118" s="13"/>
      <c r="AG118" s="13"/>
      <c r="AH118" s="13"/>
      <c r="AJ118" s="123"/>
      <c r="AK118" s="13"/>
      <c r="AL118" s="13"/>
      <c r="AM118" s="124"/>
      <c r="AN118" s="13"/>
      <c r="AO118" s="13"/>
      <c r="AP118" s="13"/>
      <c r="AQ118" s="13"/>
      <c r="AR118" s="13"/>
      <c r="AS118" s="123"/>
      <c r="AT118" s="13"/>
      <c r="AU118" s="124"/>
      <c r="AV118" s="13"/>
      <c r="AW118" s="13"/>
      <c r="AX118" s="13"/>
    </row>
    <row r="119" spans="4:50" s="61" customFormat="1" x14ac:dyDescent="0.25">
      <c r="D119" s="81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23"/>
      <c r="R119" s="13"/>
      <c r="S119" s="13"/>
      <c r="T119" s="13"/>
      <c r="U119" s="124"/>
      <c r="V119" s="13"/>
      <c r="W119" s="123"/>
      <c r="X119" s="13"/>
      <c r="Y119" s="13"/>
      <c r="Z119" s="13"/>
      <c r="AA119" s="123"/>
      <c r="AB119" s="13"/>
      <c r="AC119" s="13"/>
      <c r="AD119" s="124"/>
      <c r="AE119" s="13"/>
      <c r="AF119" s="13"/>
      <c r="AG119" s="13"/>
      <c r="AH119" s="13"/>
      <c r="AJ119" s="123"/>
      <c r="AK119" s="13"/>
      <c r="AL119" s="13"/>
      <c r="AM119" s="124"/>
      <c r="AN119" s="13"/>
      <c r="AO119" s="13"/>
      <c r="AP119" s="13"/>
      <c r="AQ119" s="13"/>
      <c r="AR119" s="13"/>
      <c r="AS119" s="123"/>
      <c r="AT119" s="13"/>
      <c r="AU119" s="124"/>
      <c r="AV119" s="13"/>
      <c r="AW119" s="13"/>
      <c r="AX119" s="13"/>
    </row>
    <row r="120" spans="4:50" s="61" customFormat="1" x14ac:dyDescent="0.25">
      <c r="D120" s="8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23"/>
      <c r="R120" s="13"/>
      <c r="S120" s="13"/>
      <c r="T120" s="13"/>
      <c r="U120" s="124"/>
      <c r="V120" s="13"/>
      <c r="W120" s="123"/>
      <c r="X120" s="13"/>
      <c r="Y120" s="13"/>
      <c r="Z120" s="13"/>
      <c r="AA120" s="123"/>
      <c r="AB120" s="13"/>
      <c r="AC120" s="13"/>
      <c r="AD120" s="124"/>
      <c r="AE120" s="13"/>
      <c r="AF120" s="13"/>
      <c r="AG120" s="13"/>
      <c r="AH120" s="13"/>
      <c r="AJ120" s="123"/>
      <c r="AK120" s="13"/>
      <c r="AL120" s="13"/>
      <c r="AM120" s="124"/>
      <c r="AN120" s="13"/>
      <c r="AO120" s="13"/>
      <c r="AP120" s="13"/>
      <c r="AQ120" s="13"/>
      <c r="AR120" s="13"/>
      <c r="AS120" s="123"/>
      <c r="AT120" s="13"/>
      <c r="AU120" s="124"/>
      <c r="AV120" s="13"/>
      <c r="AW120" s="13"/>
      <c r="AX120" s="13"/>
    </row>
    <row r="121" spans="4:50" s="61" customFormat="1" x14ac:dyDescent="0.25">
      <c r="D121" s="8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23"/>
      <c r="R121" s="13"/>
      <c r="S121" s="13"/>
      <c r="T121" s="13"/>
      <c r="U121" s="124"/>
      <c r="V121" s="13"/>
      <c r="W121" s="123"/>
      <c r="X121" s="13"/>
      <c r="Y121" s="13"/>
      <c r="Z121" s="13"/>
      <c r="AA121" s="123"/>
      <c r="AB121" s="13"/>
      <c r="AC121" s="13"/>
      <c r="AD121" s="124"/>
      <c r="AE121" s="13"/>
      <c r="AF121" s="13"/>
      <c r="AG121" s="13"/>
      <c r="AH121" s="13"/>
      <c r="AJ121" s="123"/>
      <c r="AK121" s="13"/>
      <c r="AL121" s="13"/>
      <c r="AM121" s="124"/>
      <c r="AN121" s="13"/>
      <c r="AO121" s="13"/>
      <c r="AP121" s="13"/>
      <c r="AQ121" s="13"/>
      <c r="AR121" s="13"/>
      <c r="AS121" s="123"/>
      <c r="AT121" s="13"/>
      <c r="AU121" s="124"/>
      <c r="AV121" s="13"/>
      <c r="AW121" s="13"/>
      <c r="AX121" s="13"/>
    </row>
    <row r="122" spans="4:50" s="61" customFormat="1" x14ac:dyDescent="0.25">
      <c r="D122" s="8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23"/>
      <c r="R122" s="13"/>
      <c r="S122" s="13"/>
      <c r="T122" s="13"/>
      <c r="U122" s="124"/>
      <c r="V122" s="13"/>
      <c r="W122" s="123"/>
      <c r="X122" s="13"/>
      <c r="Y122" s="13"/>
      <c r="Z122" s="13"/>
      <c r="AA122" s="123"/>
      <c r="AB122" s="13"/>
      <c r="AC122" s="13"/>
      <c r="AD122" s="124"/>
      <c r="AE122" s="13"/>
      <c r="AF122" s="13"/>
      <c r="AG122" s="13"/>
      <c r="AH122" s="13"/>
      <c r="AJ122" s="123"/>
      <c r="AK122" s="13"/>
      <c r="AL122" s="13"/>
      <c r="AM122" s="124"/>
      <c r="AN122" s="13"/>
      <c r="AO122" s="13"/>
      <c r="AP122" s="13"/>
      <c r="AQ122" s="13"/>
      <c r="AR122" s="13"/>
      <c r="AS122" s="123"/>
      <c r="AT122" s="13"/>
      <c r="AU122" s="124"/>
      <c r="AV122" s="13"/>
      <c r="AW122" s="13"/>
      <c r="AX122" s="13"/>
    </row>
    <row r="123" spans="4:50" s="61" customFormat="1" x14ac:dyDescent="0.25">
      <c r="D123" s="8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23"/>
      <c r="R123" s="13"/>
      <c r="S123" s="13"/>
      <c r="T123" s="13"/>
      <c r="U123" s="124"/>
      <c r="V123" s="13"/>
      <c r="W123" s="123"/>
      <c r="X123" s="13"/>
      <c r="Y123" s="13"/>
      <c r="Z123" s="13"/>
      <c r="AA123" s="123"/>
      <c r="AB123" s="13"/>
      <c r="AC123" s="13"/>
      <c r="AD123" s="124"/>
      <c r="AE123" s="13"/>
      <c r="AF123" s="13"/>
      <c r="AG123" s="13"/>
      <c r="AH123" s="13"/>
      <c r="AJ123" s="123"/>
      <c r="AK123" s="13"/>
      <c r="AL123" s="13"/>
      <c r="AM123" s="124"/>
      <c r="AN123" s="13"/>
      <c r="AO123" s="13"/>
      <c r="AP123" s="13"/>
      <c r="AQ123" s="13"/>
      <c r="AR123" s="13"/>
      <c r="AS123" s="123"/>
      <c r="AT123" s="13"/>
      <c r="AU123" s="124"/>
      <c r="AV123" s="13"/>
      <c r="AW123" s="13"/>
      <c r="AX123" s="13"/>
    </row>
    <row r="124" spans="4:50" s="61" customFormat="1" x14ac:dyDescent="0.25">
      <c r="D124" s="81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23"/>
      <c r="R124" s="13"/>
      <c r="S124" s="13"/>
      <c r="T124" s="13"/>
      <c r="U124" s="124"/>
      <c r="V124" s="13"/>
      <c r="W124" s="123"/>
      <c r="X124" s="13"/>
      <c r="Y124" s="13"/>
      <c r="Z124" s="13"/>
      <c r="AA124" s="123"/>
      <c r="AB124" s="13"/>
      <c r="AC124" s="13"/>
      <c r="AD124" s="124"/>
      <c r="AE124" s="13"/>
      <c r="AF124" s="13"/>
      <c r="AG124" s="13"/>
      <c r="AH124" s="13"/>
      <c r="AJ124" s="123"/>
      <c r="AK124" s="13"/>
      <c r="AL124" s="13"/>
      <c r="AM124" s="124"/>
      <c r="AN124" s="13"/>
      <c r="AO124" s="13"/>
      <c r="AP124" s="13"/>
      <c r="AQ124" s="13"/>
      <c r="AR124" s="13"/>
      <c r="AS124" s="123"/>
      <c r="AT124" s="13"/>
      <c r="AU124" s="124"/>
      <c r="AV124" s="13"/>
      <c r="AW124" s="13"/>
      <c r="AX124" s="13"/>
    </row>
    <row r="125" spans="4:50" s="61" customFormat="1" x14ac:dyDescent="0.25">
      <c r="D125" s="81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23"/>
      <c r="R125" s="13"/>
      <c r="S125" s="13"/>
      <c r="T125" s="13"/>
      <c r="U125" s="124"/>
      <c r="V125" s="13"/>
      <c r="W125" s="123"/>
      <c r="X125" s="13"/>
      <c r="Y125" s="13"/>
      <c r="Z125" s="13"/>
      <c r="AA125" s="123"/>
      <c r="AB125" s="13"/>
      <c r="AC125" s="13"/>
      <c r="AD125" s="124"/>
      <c r="AE125" s="13"/>
      <c r="AF125" s="13"/>
      <c r="AG125" s="13"/>
      <c r="AH125" s="13"/>
      <c r="AJ125" s="123"/>
      <c r="AK125" s="13"/>
      <c r="AL125" s="13"/>
      <c r="AM125" s="124"/>
      <c r="AN125" s="13"/>
      <c r="AO125" s="13"/>
      <c r="AP125" s="13"/>
      <c r="AQ125" s="13"/>
      <c r="AR125" s="13"/>
      <c r="AS125" s="123"/>
      <c r="AT125" s="13"/>
      <c r="AU125" s="124"/>
      <c r="AV125" s="13"/>
      <c r="AW125" s="13"/>
      <c r="AX125" s="13"/>
    </row>
    <row r="126" spans="4:50" s="61" customFormat="1" x14ac:dyDescent="0.25">
      <c r="D126" s="81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23"/>
      <c r="R126" s="13"/>
      <c r="S126" s="13"/>
      <c r="T126" s="13"/>
      <c r="U126" s="124"/>
      <c r="V126" s="13"/>
      <c r="W126" s="123"/>
      <c r="X126" s="13"/>
      <c r="Y126" s="13"/>
      <c r="Z126" s="13"/>
      <c r="AA126" s="123"/>
      <c r="AB126" s="13"/>
      <c r="AC126" s="13"/>
      <c r="AD126" s="124"/>
      <c r="AE126" s="13"/>
      <c r="AF126" s="13"/>
      <c r="AG126" s="13"/>
      <c r="AH126" s="13"/>
      <c r="AJ126" s="123"/>
      <c r="AK126" s="13"/>
      <c r="AL126" s="13"/>
      <c r="AM126" s="124"/>
      <c r="AN126" s="13"/>
      <c r="AO126" s="13"/>
      <c r="AP126" s="13"/>
      <c r="AQ126" s="13"/>
      <c r="AR126" s="13"/>
      <c r="AS126" s="123"/>
      <c r="AT126" s="13"/>
      <c r="AU126" s="124"/>
      <c r="AV126" s="13"/>
      <c r="AW126" s="13"/>
      <c r="AX126" s="13"/>
    </row>
    <row r="127" spans="4:50" x14ac:dyDescent="0.25">
      <c r="D127" s="4"/>
    </row>
  </sheetData>
  <phoneticPr fontId="4" type="noConversion"/>
  <conditionalFormatting sqref="D2:D54">
    <cfRule type="cellIs" dxfId="7" priority="2" operator="notEqual">
      <formula>"24.12.2025"</formula>
    </cfRule>
  </conditionalFormatting>
  <conditionalFormatting sqref="Q2:Q114">
    <cfRule type="duplicateValues" dxfId="6" priority="25"/>
  </conditionalFormatting>
  <conditionalFormatting sqref="T2">
    <cfRule type="duplicateValues" dxfId="5" priority="9"/>
  </conditionalFormatting>
  <conditionalFormatting sqref="T2:T24">
    <cfRule type="duplicateValues" dxfId="4" priority="1"/>
  </conditionalFormatting>
  <conditionalFormatting sqref="T10:T17 T3:T8">
    <cfRule type="duplicateValues" dxfId="3" priority="16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43"/>
  <sheetViews>
    <sheetView tabSelected="1" topLeftCell="Q1" zoomScaleNormal="100" workbookViewId="0">
      <selection activeCell="AQ6" sqref="AQ6"/>
    </sheetView>
  </sheetViews>
  <sheetFormatPr defaultRowHeight="15" x14ac:dyDescent="0.25"/>
  <cols>
    <col min="2" max="2" width="9.140625" customWidth="1"/>
    <col min="3" max="3" width="9.85546875" customWidth="1"/>
    <col min="4" max="4" width="7.42578125" customWidth="1"/>
    <col min="5" max="5" width="9.28515625" customWidth="1"/>
    <col min="6" max="6" width="13.42578125" customWidth="1"/>
    <col min="7" max="7" width="10.28515625" customWidth="1"/>
    <col min="8" max="8" width="13.140625" customWidth="1"/>
    <col min="9" max="9" width="10.5703125" customWidth="1"/>
    <col min="10" max="10" width="4.140625" style="7" customWidth="1"/>
    <col min="11" max="11" width="8.42578125" customWidth="1"/>
    <col min="12" max="12" width="11.85546875" customWidth="1"/>
    <col min="13" max="13" width="13.140625" customWidth="1"/>
    <col min="14" max="23" width="9.28515625" customWidth="1"/>
    <col min="24" max="24" width="9.28515625" style="8" customWidth="1"/>
    <col min="25" max="26" width="9.28515625" customWidth="1"/>
    <col min="27" max="28" width="9.28515625" style="8" customWidth="1"/>
    <col min="29" max="29" width="4.140625" style="7" customWidth="1"/>
    <col min="31" max="31" width="17.28515625" customWidth="1"/>
    <col min="35" max="35" width="11" bestFit="1" customWidth="1"/>
    <col min="44" max="44" width="4.140625" style="7" customWidth="1"/>
    <col min="46" max="46" width="10.140625" customWidth="1"/>
    <col min="50" max="50" width="11" bestFit="1" customWidth="1"/>
    <col min="54" max="54" width="13.28515625" customWidth="1"/>
    <col min="58" max="58" width="8.5703125" customWidth="1"/>
    <col min="59" max="59" width="4.140625" style="7" customWidth="1"/>
    <col min="60" max="60" width="8.7109375" customWidth="1"/>
    <col min="61" max="61" width="12.42578125" customWidth="1"/>
    <col min="64" max="64" width="13.28515625" bestFit="1" customWidth="1"/>
    <col min="68" max="68" width="12.140625" customWidth="1"/>
    <col min="69" max="69" width="12.42578125" bestFit="1" customWidth="1"/>
    <col min="70" max="70" width="13.7109375" bestFit="1" customWidth="1"/>
    <col min="71" max="71" width="11.5703125" bestFit="1" customWidth="1"/>
    <col min="72" max="72" width="8.28515625" customWidth="1"/>
  </cols>
  <sheetData>
    <row r="1" spans="1:72" s="38" customFormat="1" ht="43.15" customHeight="1" x14ac:dyDescent="0.25">
      <c r="A1" s="37" t="s">
        <v>49</v>
      </c>
      <c r="B1" s="37" t="s">
        <v>3</v>
      </c>
      <c r="C1" s="37" t="s">
        <v>7</v>
      </c>
      <c r="D1" s="37" t="s">
        <v>8</v>
      </c>
      <c r="E1" s="37" t="s">
        <v>5</v>
      </c>
      <c r="F1" s="37" t="s">
        <v>6</v>
      </c>
      <c r="G1" s="37" t="s">
        <v>4</v>
      </c>
      <c r="H1" s="37" t="s">
        <v>2</v>
      </c>
      <c r="I1" s="37" t="s">
        <v>48</v>
      </c>
      <c r="J1" s="36"/>
      <c r="K1" s="37" t="s">
        <v>10</v>
      </c>
      <c r="L1" s="37" t="s">
        <v>11</v>
      </c>
      <c r="M1" s="37" t="s">
        <v>14</v>
      </c>
      <c r="N1" s="37" t="s">
        <v>13</v>
      </c>
      <c r="O1" s="37" t="s">
        <v>15</v>
      </c>
      <c r="P1" s="37" t="s">
        <v>127</v>
      </c>
      <c r="Q1" s="37" t="s">
        <v>12</v>
      </c>
      <c r="R1" s="37" t="s">
        <v>9</v>
      </c>
      <c r="S1" s="37" t="s">
        <v>126</v>
      </c>
      <c r="T1" s="37" t="s">
        <v>116</v>
      </c>
      <c r="U1" s="37" t="s">
        <v>117</v>
      </c>
      <c r="V1" s="37" t="s">
        <v>120</v>
      </c>
      <c r="W1" s="37" t="s">
        <v>121</v>
      </c>
      <c r="X1" s="37" t="s">
        <v>16</v>
      </c>
      <c r="Y1" s="37" t="s">
        <v>17</v>
      </c>
      <c r="Z1" s="37" t="s">
        <v>18</v>
      </c>
      <c r="AA1" s="37" t="s">
        <v>19</v>
      </c>
      <c r="AB1" s="37" t="s">
        <v>323</v>
      </c>
      <c r="AC1" s="36"/>
      <c r="AD1" s="37" t="s">
        <v>20</v>
      </c>
      <c r="AE1" s="37" t="s">
        <v>21</v>
      </c>
      <c r="AF1" s="37" t="s">
        <v>24</v>
      </c>
      <c r="AG1" s="37" t="s">
        <v>23</v>
      </c>
      <c r="AH1" s="37" t="s">
        <v>331</v>
      </c>
      <c r="AI1" s="37" t="s">
        <v>22</v>
      </c>
      <c r="AJ1" s="37" t="s">
        <v>9</v>
      </c>
      <c r="AK1" s="37" t="s">
        <v>126</v>
      </c>
      <c r="AL1" s="37" t="s">
        <v>121</v>
      </c>
      <c r="AM1" s="37" t="s">
        <v>25</v>
      </c>
      <c r="AN1" s="37" t="s">
        <v>26</v>
      </c>
      <c r="AO1" s="37" t="s">
        <v>27</v>
      </c>
      <c r="AP1" s="37" t="s">
        <v>128</v>
      </c>
      <c r="AQ1" s="37" t="s">
        <v>324</v>
      </c>
      <c r="AR1" s="36"/>
      <c r="AS1" s="37" t="s">
        <v>28</v>
      </c>
      <c r="AT1" s="37" t="s">
        <v>29</v>
      </c>
      <c r="AU1" s="37" t="s">
        <v>32</v>
      </c>
      <c r="AV1" s="37" t="s">
        <v>31</v>
      </c>
      <c r="AW1" s="37" t="s">
        <v>332</v>
      </c>
      <c r="AX1" s="37" t="s">
        <v>30</v>
      </c>
      <c r="AY1" s="37" t="s">
        <v>9</v>
      </c>
      <c r="AZ1" s="37" t="s">
        <v>126</v>
      </c>
      <c r="BA1" s="37" t="s">
        <v>372</v>
      </c>
      <c r="BB1" s="37" t="s">
        <v>33</v>
      </c>
      <c r="BC1" s="37" t="s">
        <v>373</v>
      </c>
      <c r="BD1" s="37" t="s">
        <v>34</v>
      </c>
      <c r="BE1" s="37" t="s">
        <v>35</v>
      </c>
      <c r="BF1" s="37" t="s">
        <v>325</v>
      </c>
      <c r="BG1" s="36"/>
      <c r="BH1" s="37" t="s">
        <v>36</v>
      </c>
      <c r="BI1" s="37" t="s">
        <v>37</v>
      </c>
      <c r="BJ1" s="37" t="s">
        <v>39</v>
      </c>
      <c r="BK1" s="37" t="s">
        <v>333</v>
      </c>
      <c r="BL1" s="37" t="s">
        <v>38</v>
      </c>
      <c r="BM1" s="37" t="s">
        <v>9</v>
      </c>
      <c r="BN1" s="37" t="s">
        <v>126</v>
      </c>
      <c r="BO1" s="37" t="s">
        <v>121</v>
      </c>
      <c r="BP1" s="37" t="s">
        <v>40</v>
      </c>
      <c r="BQ1" s="37" t="s">
        <v>41</v>
      </c>
      <c r="BR1" s="37" t="s">
        <v>42</v>
      </c>
      <c r="BS1" s="37" t="s">
        <v>43</v>
      </c>
      <c r="BT1" s="37" t="s">
        <v>330</v>
      </c>
    </row>
    <row r="2" spans="1:72" s="13" customFormat="1" ht="19.899999999999999" customHeight="1" x14ac:dyDescent="0.25">
      <c r="A2" s="5">
        <f>'Paste here'!A2</f>
        <v>0</v>
      </c>
      <c r="B2" s="39" t="str">
        <f>'Paste here'!F2</f>
        <v>UG</v>
      </c>
      <c r="C2" s="39" t="str">
        <f>'Paste here'!J2</f>
        <v>ECE</v>
      </c>
      <c r="D2" s="39" t="str">
        <f>'Paste here'!K2</f>
        <v>I</v>
      </c>
      <c r="E2" s="39" t="str">
        <f>UPPER('Paste here'!H2)</f>
        <v>GEA1107</v>
      </c>
      <c r="F2" s="39" t="str">
        <f>'Paste here'!I2</f>
        <v>C PROGRAMMING</v>
      </c>
      <c r="G2" s="39" t="str">
        <f>'Paste here'!G2</f>
        <v>TCPL</v>
      </c>
      <c r="H2" s="84" t="str">
        <f>'Paste here'!D2</f>
        <v>06.06.2026</v>
      </c>
      <c r="I2" s="39" t="str">
        <f>'Paste here'!E2</f>
        <v>Only FN</v>
      </c>
      <c r="J2" s="63"/>
      <c r="K2" s="39" t="str">
        <f>'Paste here'!O2</f>
        <v>Mrs.</v>
      </c>
      <c r="L2" s="67" t="str">
        <f>UPPER('Paste here'!P2)</f>
        <v>RANJANI U</v>
      </c>
      <c r="M2" s="39" t="str">
        <f>'Paste here'!S2</f>
        <v>Assistant Professor</v>
      </c>
      <c r="N2" s="39" t="str">
        <f>'Paste here'!R2</f>
        <v>AIDS</v>
      </c>
      <c r="O2" s="39" t="str">
        <f>'Paste here'!T2</f>
        <v>MAM SCHOOL OF ENGINEERING (8121)</v>
      </c>
      <c r="P2" s="5" t="str">
        <f>IF(VLOOKUP(O2,'Distance matrix'!B$2:C$238,2,FALSE)&lt;36,"&lt;35",VLOOKUP(O2,'Distance matrix'!B$2:C$238,2,FALSE))</f>
        <v>&lt;35</v>
      </c>
      <c r="Q2" s="39" t="str">
        <f>'Paste here'!Q2</f>
        <v>8270981412</v>
      </c>
      <c r="R2" s="39">
        <f>'Paste here'!M2</f>
        <v>23</v>
      </c>
      <c r="S2" s="39">
        <f>'Paste here'!N2</f>
        <v>22</v>
      </c>
      <c r="T2" s="65">
        <f>External!K2</f>
        <v>440</v>
      </c>
      <c r="U2" s="62">
        <f>External!M2</f>
        <v>150</v>
      </c>
      <c r="V2" s="62">
        <f>External!L2</f>
        <v>250</v>
      </c>
      <c r="W2" s="62">
        <f>External!N2</f>
        <v>840</v>
      </c>
      <c r="X2" s="39" t="str">
        <f>'Paste here'!U2</f>
        <v>6658000400036837</v>
      </c>
      <c r="Y2" s="39" t="str">
        <f>UPPER('Paste here'!V2)</f>
        <v>PUNJAB NATIONAL BANK</v>
      </c>
      <c r="Z2" s="39" t="str">
        <f>UPPER('Paste here'!W2)</f>
        <v>PUNB0665800</v>
      </c>
      <c r="AA2" s="39" t="str">
        <f>UPPER('Paste here'!X2)</f>
        <v>SIRUGANUR</v>
      </c>
      <c r="AB2" s="39" t="str">
        <f>External!O2</f>
        <v xml:space="preserve">Rupees Eight Hundred Fourty Only </v>
      </c>
      <c r="AC2" s="63"/>
      <c r="AD2" s="62" t="str">
        <f>'Paste here'!Y2</f>
        <v>Mr.</v>
      </c>
      <c r="AE2" s="62" t="str">
        <f>UPPER('Paste here'!Z2)</f>
        <v>KASTHURI RENGAN P</v>
      </c>
      <c r="AF2" s="62" t="str">
        <f>'Paste here'!AC2</f>
        <v>Assistant Professor</v>
      </c>
      <c r="AG2" s="62" t="str">
        <f>'Paste here'!AB2</f>
        <v>CSE</v>
      </c>
      <c r="AH2" s="62" t="s">
        <v>47</v>
      </c>
      <c r="AI2" s="62" t="str">
        <f>'Paste here'!AA2</f>
        <v>9842612131</v>
      </c>
      <c r="AJ2" s="62">
        <f>'Paste here'!M2</f>
        <v>23</v>
      </c>
      <c r="AK2" s="62">
        <f>'Paste here'!N2</f>
        <v>22</v>
      </c>
      <c r="AL2" s="62">
        <f>Internal!L2</f>
        <v>440</v>
      </c>
      <c r="AM2" s="62" t="str">
        <f>'Paste here'!AD2</f>
        <v>913010015846824</v>
      </c>
      <c r="AN2" s="62" t="str">
        <f>UPPER('Paste here'!AE2)</f>
        <v>AXIS BANK</v>
      </c>
      <c r="AO2" s="62" t="str">
        <f>UPPER('Paste here'!AF2)</f>
        <v>UTIB0001746</v>
      </c>
      <c r="AP2" s="62" t="str">
        <f>UPPER('Paste here'!AG2)</f>
        <v>KOTTUR</v>
      </c>
      <c r="AQ2" s="62" t="str">
        <f>Internal!M2</f>
        <v xml:space="preserve">Rupees Four Hundred Fourty Only </v>
      </c>
      <c r="AR2" s="63"/>
      <c r="AS2" s="62" t="str">
        <f>IF(OR(G2="TCPL",G2="PRACTICAL - UG",G2="PRACTICAL - PG"),'Paste here'!AH2,"")</f>
        <v>Mrs.</v>
      </c>
      <c r="AT2" s="62" t="str">
        <f>UPPER(IF(OR(G2="TCPL",G2="PRACTICAL - UG",G2="PRACTICAL - PG"),'Paste here'!AI2,"  -NA-  "))</f>
        <v>SURYA G</v>
      </c>
      <c r="AU2" s="62" t="str">
        <f>IF(OR(G2="TCPL",G2="PRACTICAL - UG",G2="PRACTICAL - PG"),'Paste here'!AL2,"  -NA-  ")</f>
        <v>Assistant Professor</v>
      </c>
      <c r="AV2" s="62" t="str">
        <f>IF(OR(G2="TCPL",G2="PRACTICAL - UG",G2="PRACTICAL - PG"),'Paste here'!AK2,"  -NA-  ")</f>
        <v>CSE</v>
      </c>
      <c r="AW2" s="62" t="str">
        <f>IF(OR(G2="TCPL",G2="PRACTICAL - UG",G2="PRACTICAL - PG"),"KRCE","  -NA-  ")</f>
        <v>KRCE</v>
      </c>
      <c r="AX2" s="62" t="str">
        <f>IF(OR(G2="TCPL",G2="PRACTICAL - UG",G2="PRACTICAL - PG"),'Paste here'!AJ2,"  -NA-  ")</f>
        <v>8220915957</v>
      </c>
      <c r="AY2" s="62">
        <f>IF(OR(G2="TCPL",G2="PRACTICAL - UG",G2="PRACTICAL - PG"),'Paste here'!M2,"  -NA-  ")</f>
        <v>23</v>
      </c>
      <c r="AZ2" s="62">
        <f>IF(OR(G2="TCPL",G2="PRACTICAL - UG",G2="PRACTICAL - PG"),'Paste here'!N2,"  -NA-  ")</f>
        <v>22</v>
      </c>
      <c r="BA2" s="62">
        <f>IF(OR(G2="TCPL",G2="PRACTICAL - UG",G2="PRACTICAL - PG"),Skilled!K2,"  -NA-  ")</f>
        <v>230</v>
      </c>
      <c r="BB2" s="62" t="str">
        <f>IF(OR(G2="TCPL",G2="PRACTICAL - UG",G2="PRACTICAL - PG"),'Paste here'!AM2,"  -NA-  ")</f>
        <v>609301501667</v>
      </c>
      <c r="BC2" s="62" t="str">
        <f>UPPER(IF(OR(G2="TCPL",G2="PRACTICAL - UG",G2="PRACTICAL - PG"),'Paste here'!AN2,"  -NA-  "))</f>
        <v>ICICI BANK</v>
      </c>
      <c r="BD2" s="62" t="str">
        <f>UPPER(IF(OR(G2="TCPL",G2="PRACTICAL - UG",G2="PRACTICAL - PG"),'Paste here'!AO2,"  -NA-  "))</f>
        <v>ICIC0006093</v>
      </c>
      <c r="BE2" s="62" t="str">
        <f>UPPER(IF(OR(G2="TCPL",G2="PRACTICAL - UG",G2="PRACTICAL - PG"),'Paste here'!AP2,"  -NA-  "))</f>
        <v>JAWAHAR STREET NACHANDUPATTI</v>
      </c>
      <c r="BF2" s="62" t="str">
        <f>IF(OR(G2="TCPL",G2="PRACTICAL - UG",G2="PRACTICAL - PG"),Skilled!L2,"")</f>
        <v xml:space="preserve">Rupees Two Hundred Thirty Only </v>
      </c>
      <c r="BG2" s="63"/>
      <c r="BH2" s="62" t="str">
        <f>IF(OR(AG2="ENGLISH",AG2="MBA"),"",IF(OR(G2="PRACTICAL - UG",G2="PRACTICAL - PG"),'Paste here'!AQ2,""))</f>
        <v/>
      </c>
      <c r="BI2" s="62" t="str">
        <f>UPPER(IF(OR(G2="PRACTICAL - UG",G2="PRACTICAL - PG"),'Paste here'!AR2,"  -NA-  "))</f>
        <v xml:space="preserve">  -NA-  </v>
      </c>
      <c r="BJ2" s="62" t="str">
        <f>IF(OR(G2="PRACTICAL - UG",G2="PRACTICAL - PG"),'Paste here'!AT2,"  -NA-  ")</f>
        <v xml:space="preserve">  -NA-  </v>
      </c>
      <c r="BK2" s="62" t="str">
        <f>IF(OR(AG2="ENGLISH",AG2="MBA"),"-NA-",IF(OR(G2="PRACTICAL - UG",G2="PRACTICAL - PG"),"KRCE","  -NA-  "))</f>
        <v xml:space="preserve">  -NA-  </v>
      </c>
      <c r="BL2" s="62" t="str">
        <f>IF(OR(G2="PRACTICAL - UG",G2="PRACTICAL - PG"),'Paste here'!AS2,"  -NA-  ")</f>
        <v xml:space="preserve">  -NA-  </v>
      </c>
      <c r="BM2" s="62" t="str">
        <f>IF(OR(G2="PRACTICAL - UG",G2="PRACTICAL - PG"),'Paste here'!M2,"  -NA-  ")</f>
        <v xml:space="preserve">  -NA-  </v>
      </c>
      <c r="BN2" s="62" t="str">
        <f>IF(OR(G2="PRACTICAL - UG",G2="PRACTICAL - PG"),'Paste here'!N2,"  -NA-  ")</f>
        <v xml:space="preserve">  -NA-  </v>
      </c>
      <c r="BO2" s="62" t="str">
        <f>IF(OR(AG2="ENGLISH",AG2="MBA"),"",IF(OR(G2="PRACTICAL - UG",G2="PRACTICAL - PG"),Technician!J2,"  -NA-  "))</f>
        <v xml:space="preserve">  -NA-  </v>
      </c>
      <c r="BP2" s="62" t="str">
        <f>IF(OR(G2="PRACTICAL - UG",G2="PRACTICAL - PG"),'Paste here'!AU2,"  -NA-  ")</f>
        <v xml:space="preserve">  -NA-  </v>
      </c>
      <c r="BQ2" s="62" t="str">
        <f>UPPER(IF(OR(,G2="PRACTICAL - UG",G2="PRACTICAL - PG"),'Paste here'!AV2,"  -NA-  "))</f>
        <v xml:space="preserve">  -NA-  </v>
      </c>
      <c r="BR2" s="62" t="str">
        <f>UPPER(IF(OR(G2="PRACTICAL - UG",G2="PRACTICAL - PG"),'Paste here'!AW2,"  -NA-  "))</f>
        <v xml:space="preserve">  -NA-  </v>
      </c>
      <c r="BS2" s="62" t="str">
        <f>UPPER(IF(OR(G2="PRACTICAL - UG",G2="PRACTICAL - PG"),'Paste here'!AX2,"  -NA-  "))</f>
        <v xml:space="preserve">  -NA-  </v>
      </c>
      <c r="BT2" s="39" t="str">
        <f>IF(OR(AG2="ENGLISH",AG2="MBA"),"",IF(OR(G2="PRACTICAL - UG",G2="PRACTICAL - PG"),Technician!L2,""))</f>
        <v/>
      </c>
    </row>
    <row r="3" spans="1:72" s="13" customFormat="1" ht="19.899999999999999" customHeight="1" x14ac:dyDescent="0.25">
      <c r="A3" s="5">
        <f>'Paste here'!A3</f>
        <v>0</v>
      </c>
      <c r="B3" s="39">
        <f>'Paste here'!F3</f>
        <v>0</v>
      </c>
      <c r="C3" s="39">
        <f>'Paste here'!J3</f>
        <v>0</v>
      </c>
      <c r="D3" s="39">
        <f>'Paste here'!K3</f>
        <v>0</v>
      </c>
      <c r="E3" s="39" t="str">
        <f>UPPER('Paste here'!H3)</f>
        <v/>
      </c>
      <c r="F3" s="39">
        <f>'Paste here'!I3</f>
        <v>0</v>
      </c>
      <c r="G3" s="39">
        <f>'Paste here'!G3</f>
        <v>0</v>
      </c>
      <c r="H3" s="84">
        <f>'Paste here'!D3</f>
        <v>0</v>
      </c>
      <c r="I3" s="39">
        <f>'Paste here'!E3</f>
        <v>0</v>
      </c>
      <c r="J3" s="63"/>
      <c r="K3" s="39">
        <f>'Paste here'!O3</f>
        <v>0</v>
      </c>
      <c r="L3" s="67" t="str">
        <f>UPPER('Paste here'!P3)</f>
        <v/>
      </c>
      <c r="M3" s="39">
        <f>'Paste here'!S3</f>
        <v>0</v>
      </c>
      <c r="N3" s="39">
        <f>'Paste here'!R3</f>
        <v>0</v>
      </c>
      <c r="O3" s="39">
        <f>'Paste here'!T3</f>
        <v>0</v>
      </c>
      <c r="P3" s="5" t="e">
        <f>IF(VLOOKUP(O3,'Distance matrix'!B$2:C$238,2,FALSE)&lt;36,"&lt;35",VLOOKUP(O3,'Distance matrix'!B$2:C$238,2,FALSE))</f>
        <v>#N/A</v>
      </c>
      <c r="Q3" s="39">
        <f>'Paste here'!Q3</f>
        <v>0</v>
      </c>
      <c r="R3" s="39">
        <f>'Paste here'!M3</f>
        <v>0</v>
      </c>
      <c r="S3" s="39">
        <f>'Paste here'!N3</f>
        <v>0</v>
      </c>
      <c r="T3" s="65" t="e">
        <f>External!K3</f>
        <v>#N/A</v>
      </c>
      <c r="U3" s="62">
        <f>External!M3</f>
        <v>0</v>
      </c>
      <c r="V3" s="62">
        <f>External!L3</f>
        <v>0</v>
      </c>
      <c r="W3" s="62" t="e">
        <f>External!N3</f>
        <v>#N/A</v>
      </c>
      <c r="X3" s="39">
        <f>'Paste here'!U3</f>
        <v>0</v>
      </c>
      <c r="Y3" s="39" t="str">
        <f>UPPER('Paste here'!V3)</f>
        <v/>
      </c>
      <c r="Z3" s="39" t="str">
        <f>UPPER('Paste here'!W3)</f>
        <v/>
      </c>
      <c r="AA3" s="39" t="str">
        <f>UPPER('Paste here'!X3)</f>
        <v/>
      </c>
      <c r="AB3" s="39" t="e">
        <f>External!O3</f>
        <v>#VALUE!</v>
      </c>
      <c r="AC3" s="63"/>
      <c r="AD3" s="62">
        <f>'Paste here'!Y3</f>
        <v>0</v>
      </c>
      <c r="AE3" s="62" t="str">
        <f>UPPER('Paste here'!Z3)</f>
        <v/>
      </c>
      <c r="AF3" s="62">
        <f>'Paste here'!AC3</f>
        <v>0</v>
      </c>
      <c r="AG3" s="62">
        <f>'Paste here'!AB3</f>
        <v>0</v>
      </c>
      <c r="AH3" s="62" t="s">
        <v>47</v>
      </c>
      <c r="AI3" s="62">
        <f>'Paste here'!AA3</f>
        <v>0</v>
      </c>
      <c r="AJ3" s="62">
        <f>'Paste here'!M3</f>
        <v>0</v>
      </c>
      <c r="AK3" s="62">
        <f>'Paste here'!N3</f>
        <v>0</v>
      </c>
      <c r="AL3" s="62" t="e">
        <f>Internal!L3</f>
        <v>#N/A</v>
      </c>
      <c r="AM3" s="62">
        <f>'Paste here'!AD3</f>
        <v>0</v>
      </c>
      <c r="AN3" s="62" t="str">
        <f>UPPER('Paste here'!AE3)</f>
        <v/>
      </c>
      <c r="AO3" s="62" t="str">
        <f>UPPER('Paste here'!AF3)</f>
        <v/>
      </c>
      <c r="AP3" s="62" t="str">
        <f>UPPER('Paste here'!AG3)</f>
        <v/>
      </c>
      <c r="AQ3" s="62" t="e">
        <f>Internal!M3</f>
        <v>#VALUE!</v>
      </c>
      <c r="AR3" s="63"/>
      <c r="AS3" s="62" t="str">
        <f>IF(OR(G3="TCPL",G3="PRACTICAL - UG",G3="PRACTICAL - PG"),'Paste here'!AH3,"")</f>
        <v/>
      </c>
      <c r="AT3" s="62" t="str">
        <f>UPPER(IF(OR(G3="TCPL",G3="PRACTICAL - UG",G3="PRACTICAL - PG"),'Paste here'!AI3,"  -NA-  "))</f>
        <v xml:space="preserve">  -NA-  </v>
      </c>
      <c r="AU3" s="62" t="str">
        <f>IF(OR(G3="TCPL",G3="PRACTICAL - UG",G3="PRACTICAL - PG"),'Paste here'!AL3,"  -NA-  ")</f>
        <v xml:space="preserve">  -NA-  </v>
      </c>
      <c r="AV3" s="62" t="str">
        <f>IF(OR(G3="TCPL",G3="PRACTICAL - UG",G3="PRACTICAL - PG"),'Paste here'!AK3,"  -NA-  ")</f>
        <v xml:space="preserve">  -NA-  </v>
      </c>
      <c r="AW3" s="62" t="str">
        <f t="shared" ref="AW3:AW15" si="0">IF(OR(G3="TCPL",G3="PRACTICAL - UG",G3="PRACTICAL - PG"),"KRCE","  -NA-  ")</f>
        <v xml:space="preserve">  -NA-  </v>
      </c>
      <c r="AX3" s="62" t="str">
        <f>IF(OR(G3="TCPL",G3="PRACTICAL - UG",G3="PRACTICAL - PG"),'Paste here'!AJ3,"  -NA-  ")</f>
        <v xml:space="preserve">  -NA-  </v>
      </c>
      <c r="AY3" s="62" t="str">
        <f>IF(OR(G3="TCPL",G3="PRACTICAL - UG",G3="PRACTICAL - PG"),'Paste here'!M3,"  -NA-  ")</f>
        <v xml:space="preserve">  -NA-  </v>
      </c>
      <c r="AZ3" s="62" t="str">
        <f>IF(OR(G3="TCPL",G3="PRACTICAL - UG",G3="PRACTICAL - PG"),'Paste here'!N3,"  -NA-  ")</f>
        <v xml:space="preserve">  -NA-  </v>
      </c>
      <c r="BA3" s="62" t="str">
        <f>IF(OR(G3="TCPL",G3="PRACTICAL - UG",G3="PRACTICAL - PG"),Skilled!K3,"  -NA-  ")</f>
        <v xml:space="preserve">  -NA-  </v>
      </c>
      <c r="BB3" s="62" t="str">
        <f>IF(OR(G3="TCPL",G3="PRACTICAL - UG",G3="PRACTICAL - PG"),'Paste here'!AM3,"  -NA-  ")</f>
        <v xml:space="preserve">  -NA-  </v>
      </c>
      <c r="BC3" s="62" t="str">
        <f>UPPER(IF(OR(G3="TCPL",G3="PRACTICAL - UG",G3="PRACTICAL - PG"),'Paste here'!AN3,"  -NA-  "))</f>
        <v xml:space="preserve">  -NA-  </v>
      </c>
      <c r="BD3" s="62" t="str">
        <f>UPPER(IF(OR(G3="TCPL",G3="PRACTICAL - UG",G3="PRACTICAL - PG"),'Paste here'!AO3,"  -NA-  "))</f>
        <v xml:space="preserve">  -NA-  </v>
      </c>
      <c r="BE3" s="62" t="str">
        <f>UPPER(IF(OR(G3="TCPL",G3="PRACTICAL - UG",G3="PRACTICAL - PG"),'Paste here'!AP3,"  -NA-  "))</f>
        <v xml:space="preserve">  -NA-  </v>
      </c>
      <c r="BF3" s="62" t="str">
        <f>IF(OR(G3="TCPL",G3="PRACTICAL - UG",G3="PRACTICAL - PG"),Skilled!L3,"")</f>
        <v/>
      </c>
      <c r="BG3" s="63"/>
      <c r="BH3" s="62" t="str">
        <f>IF(OR(AG3="ENGLISH",AG3="MBA"),"",IF(OR(G3="PRACTICAL - UG",G3="PRACTICAL - PG"),'Paste here'!AQ3,""))</f>
        <v/>
      </c>
      <c r="BI3" s="62" t="str">
        <f>UPPER(IF(OR(G3="PRACTICAL - UG",G3="PRACTICAL - PG"),'Paste here'!AR3,"  -NA-  "))</f>
        <v xml:space="preserve">  -NA-  </v>
      </c>
      <c r="BJ3" s="62" t="str">
        <f>IF(OR(G3="PRACTICAL - UG",G3="PRACTICAL - PG"),'Paste here'!AT3,"  -NA-  ")</f>
        <v xml:space="preserve">  -NA-  </v>
      </c>
      <c r="BK3" s="62" t="str">
        <f t="shared" ref="BK3:BK15" si="1">IF(OR(AG3="ENGLISH",AG3="MBA"),"-NA-",IF(OR(G3="PRACTICAL - UG",G3="PRACTICAL - PG"),"KRCE","  -NA-  "))</f>
        <v xml:space="preserve">  -NA-  </v>
      </c>
      <c r="BL3" s="62" t="str">
        <f>IF(OR(G3="PRACTICAL - UG",G3="PRACTICAL - PG"),'Paste here'!AS3,"  -NA-  ")</f>
        <v xml:space="preserve">  -NA-  </v>
      </c>
      <c r="BM3" s="62" t="str">
        <f>IF(OR(G3="PRACTICAL - UG",G3="PRACTICAL - PG"),'Paste here'!M3,"  -NA-  ")</f>
        <v xml:space="preserve">  -NA-  </v>
      </c>
      <c r="BN3" s="62" t="str">
        <f>IF(OR(G3="PRACTICAL - UG",G3="PRACTICAL - PG"),'Paste here'!N3,"  -NA-  ")</f>
        <v xml:space="preserve">  -NA-  </v>
      </c>
      <c r="BO3" s="62" t="str">
        <f>IF(OR(AG3="ENGLISH",AG3="MBA"),"",IF(OR(G3="PRACTICAL - UG",G3="PRACTICAL - PG"),Technician!J3,"  -NA-  "))</f>
        <v xml:space="preserve">  -NA-  </v>
      </c>
      <c r="BP3" s="62" t="str">
        <f>IF(OR(G3="PRACTICAL - UG",G3="PRACTICAL - PG"),'Paste here'!AU3,"  -NA-  ")</f>
        <v xml:space="preserve">  -NA-  </v>
      </c>
      <c r="BQ3" s="62" t="str">
        <f>UPPER(IF(OR(,G3="PRACTICAL - UG",G3="PRACTICAL - PG"),'Paste here'!AV3,"  -NA-  "))</f>
        <v xml:space="preserve">  -NA-  </v>
      </c>
      <c r="BR3" s="62" t="str">
        <f>UPPER(IF(OR(G3="PRACTICAL - UG",G3="PRACTICAL - PG"),'Paste here'!AW3,"  -NA-  "))</f>
        <v xml:space="preserve">  -NA-  </v>
      </c>
      <c r="BS3" s="62" t="str">
        <f>UPPER(IF(OR(G3="PRACTICAL - UG",G3="PRACTICAL - PG"),'Paste here'!AX3,"  -NA-  "))</f>
        <v xml:space="preserve">  -NA-  </v>
      </c>
      <c r="BT3" s="39" t="str">
        <f>IF(OR(AG3="ENGLISH",AG3="MBA"),"",IF(OR(G3="PRACTICAL - UG",G3="PRACTICAL - PG"),Technician!L3,""))</f>
        <v/>
      </c>
    </row>
    <row r="4" spans="1:72" s="13" customFormat="1" ht="19.899999999999999" customHeight="1" x14ac:dyDescent="0.25">
      <c r="A4" s="5">
        <f>'Paste here'!A4</f>
        <v>0</v>
      </c>
      <c r="B4" s="39">
        <f>'Paste here'!F4</f>
        <v>0</v>
      </c>
      <c r="C4" s="39">
        <f>'Paste here'!J4</f>
        <v>0</v>
      </c>
      <c r="D4" s="39">
        <f>'Paste here'!K4</f>
        <v>0</v>
      </c>
      <c r="E4" s="39" t="str">
        <f>UPPER('Paste here'!H4)</f>
        <v/>
      </c>
      <c r="F4" s="39">
        <f>'Paste here'!I4</f>
        <v>0</v>
      </c>
      <c r="G4" s="39">
        <f>'Paste here'!G4</f>
        <v>0</v>
      </c>
      <c r="H4" s="84">
        <f>'Paste here'!D4</f>
        <v>0</v>
      </c>
      <c r="I4" s="39">
        <f>'Paste here'!E4</f>
        <v>0</v>
      </c>
      <c r="J4" s="63"/>
      <c r="K4" s="39">
        <f>'Paste here'!O4</f>
        <v>0</v>
      </c>
      <c r="L4" s="67" t="str">
        <f>UPPER('Paste here'!P4)</f>
        <v/>
      </c>
      <c r="M4" s="39">
        <f>'Paste here'!S4</f>
        <v>0</v>
      </c>
      <c r="N4" s="39">
        <f>'Paste here'!R4</f>
        <v>0</v>
      </c>
      <c r="O4" s="39">
        <f>'Paste here'!T4</f>
        <v>0</v>
      </c>
      <c r="P4" s="5" t="e">
        <f>IF(VLOOKUP(O4,'Distance matrix'!B$2:C$238,2,FALSE)&lt;36,"&lt;35",VLOOKUP(O4,'Distance matrix'!B$2:C$238,2,FALSE))</f>
        <v>#N/A</v>
      </c>
      <c r="Q4" s="39">
        <f>'Paste here'!Q4</f>
        <v>0</v>
      </c>
      <c r="R4" s="39">
        <f>'Paste here'!M4</f>
        <v>0</v>
      </c>
      <c r="S4" s="39">
        <f>'Paste here'!N4</f>
        <v>0</v>
      </c>
      <c r="T4" s="65" t="e">
        <f>External!K4</f>
        <v>#N/A</v>
      </c>
      <c r="U4" s="62">
        <f>External!M4</f>
        <v>0</v>
      </c>
      <c r="V4" s="62">
        <f>External!L4</f>
        <v>0</v>
      </c>
      <c r="W4" s="62" t="e">
        <f>External!N4</f>
        <v>#N/A</v>
      </c>
      <c r="X4" s="39">
        <f>'Paste here'!U4</f>
        <v>0</v>
      </c>
      <c r="Y4" s="39" t="str">
        <f>UPPER('Paste here'!V4)</f>
        <v/>
      </c>
      <c r="Z4" s="39" t="str">
        <f>UPPER('Paste here'!W4)</f>
        <v/>
      </c>
      <c r="AA4" s="39" t="str">
        <f>UPPER('Paste here'!X4)</f>
        <v/>
      </c>
      <c r="AB4" s="39" t="e">
        <f>External!O4</f>
        <v>#VALUE!</v>
      </c>
      <c r="AC4" s="63"/>
      <c r="AD4" s="62">
        <f>'Paste here'!Y4</f>
        <v>0</v>
      </c>
      <c r="AE4" s="62" t="str">
        <f>UPPER('Paste here'!Z4)</f>
        <v/>
      </c>
      <c r="AF4" s="62">
        <f>'Paste here'!AC4</f>
        <v>0</v>
      </c>
      <c r="AG4" s="62">
        <f>'Paste here'!AB4</f>
        <v>0</v>
      </c>
      <c r="AH4" s="62" t="s">
        <v>47</v>
      </c>
      <c r="AI4" s="62">
        <f>'Paste here'!AA4</f>
        <v>0</v>
      </c>
      <c r="AJ4" s="62">
        <f>'Paste here'!M4</f>
        <v>0</v>
      </c>
      <c r="AK4" s="62">
        <f>'Paste here'!N4</f>
        <v>0</v>
      </c>
      <c r="AL4" s="62" t="e">
        <f>Internal!L4</f>
        <v>#N/A</v>
      </c>
      <c r="AM4" s="62">
        <f>'Paste here'!AD4</f>
        <v>0</v>
      </c>
      <c r="AN4" s="62" t="str">
        <f>UPPER('Paste here'!AE4)</f>
        <v/>
      </c>
      <c r="AO4" s="62" t="str">
        <f>UPPER('Paste here'!AF4)</f>
        <v/>
      </c>
      <c r="AP4" s="62" t="str">
        <f>UPPER('Paste here'!AG4)</f>
        <v/>
      </c>
      <c r="AQ4" s="62" t="e">
        <f>Internal!M4</f>
        <v>#VALUE!</v>
      </c>
      <c r="AR4" s="63"/>
      <c r="AS4" s="62" t="str">
        <f>IF(OR(G4="TCPL",G4="PRACTICAL - UG",G4="PRACTICAL - PG"),'Paste here'!AH4,"")</f>
        <v/>
      </c>
      <c r="AT4" s="62" t="str">
        <f>UPPER(IF(OR(G4="TCPL",G4="PRACTICAL - UG",G4="PRACTICAL - PG"),'Paste here'!AI4,"  -NA-  "))</f>
        <v xml:space="preserve">  -NA-  </v>
      </c>
      <c r="AU4" s="62" t="str">
        <f>IF(OR(G4="TCPL",G4="PRACTICAL - UG",G4="PRACTICAL - PG"),'Paste here'!AL4,"  -NA-  ")</f>
        <v xml:space="preserve">  -NA-  </v>
      </c>
      <c r="AV4" s="62" t="str">
        <f>IF(OR(G4="TCPL",G4="PRACTICAL - UG",G4="PRACTICAL - PG"),'Paste here'!AK4,"  -NA-  ")</f>
        <v xml:space="preserve">  -NA-  </v>
      </c>
      <c r="AW4" s="62" t="str">
        <f t="shared" si="0"/>
        <v xml:space="preserve">  -NA-  </v>
      </c>
      <c r="AX4" s="62" t="str">
        <f>IF(OR(G4="TCPL",G4="PRACTICAL - UG",G4="PRACTICAL - PG"),'Paste here'!AJ4,"  -NA-  ")</f>
        <v xml:space="preserve">  -NA-  </v>
      </c>
      <c r="AY4" s="62" t="str">
        <f>IF(OR(G4="TCPL",G4="PRACTICAL - UG",G4="PRACTICAL - PG"),'Paste here'!M4,"  -NA-  ")</f>
        <v xml:space="preserve">  -NA-  </v>
      </c>
      <c r="AZ4" s="62" t="str">
        <f>IF(OR(G4="TCPL",G4="PRACTICAL - UG",G4="PRACTICAL - PG"),'Paste here'!N4,"  -NA-  ")</f>
        <v xml:space="preserve">  -NA-  </v>
      </c>
      <c r="BA4" s="62" t="str">
        <f>IF(OR(G4="TCPL",G4="PRACTICAL - UG",G4="PRACTICAL - PG"),Skilled!K4,"  -NA-  ")</f>
        <v xml:space="preserve">  -NA-  </v>
      </c>
      <c r="BB4" s="62" t="str">
        <f>IF(OR(G4="TCPL",G4="PRACTICAL - UG",G4="PRACTICAL - PG"),'Paste here'!AM4,"  -NA-  ")</f>
        <v xml:space="preserve">  -NA-  </v>
      </c>
      <c r="BC4" s="62" t="str">
        <f>UPPER(IF(OR(G4="TCPL",G4="PRACTICAL - UG",G4="PRACTICAL - PG"),'Paste here'!AN4,"  -NA-  "))</f>
        <v xml:space="preserve">  -NA-  </v>
      </c>
      <c r="BD4" s="62" t="str">
        <f>UPPER(IF(OR(G4="TCPL",G4="PRACTICAL - UG",G4="PRACTICAL - PG"),'Paste here'!AO4,"  -NA-  "))</f>
        <v xml:space="preserve">  -NA-  </v>
      </c>
      <c r="BE4" s="62" t="str">
        <f>UPPER(IF(OR(G4="TCPL",G4="PRACTICAL - UG",G4="PRACTICAL - PG"),'Paste here'!AP4,"  -NA-  "))</f>
        <v xml:space="preserve">  -NA-  </v>
      </c>
      <c r="BF4" s="62" t="str">
        <f>IF(OR(G4="TCPL",G4="PRACTICAL - UG",G4="PRACTICAL - PG"),Skilled!L4,"")</f>
        <v/>
      </c>
      <c r="BG4" s="63"/>
      <c r="BH4" s="62" t="str">
        <f>IF(OR(AG4="ENGLISH",AG4="MBA"),"",IF(OR(G4="PRACTICAL - UG",G4="PRACTICAL - PG"),'Paste here'!AQ4,""))</f>
        <v/>
      </c>
      <c r="BI4" s="62" t="str">
        <f>UPPER(IF(OR(G4="PRACTICAL - UG",G4="PRACTICAL - PG"),'Paste here'!AR4,"  -NA-  "))</f>
        <v xml:space="preserve">  -NA-  </v>
      </c>
      <c r="BJ4" s="62" t="str">
        <f>IF(OR(G4="PRACTICAL - UG",G4="PRACTICAL - PG"),'Paste here'!AT4,"  -NA-  ")</f>
        <v xml:space="preserve">  -NA-  </v>
      </c>
      <c r="BK4" s="62" t="str">
        <f t="shared" si="1"/>
        <v xml:space="preserve">  -NA-  </v>
      </c>
      <c r="BL4" s="62" t="str">
        <f>IF(OR(G4="PRACTICAL - UG",G4="PRACTICAL - PG"),'Paste here'!AS4,"  -NA-  ")</f>
        <v xml:space="preserve">  -NA-  </v>
      </c>
      <c r="BM4" s="62" t="str">
        <f>IF(OR(G4="PRACTICAL - UG",G4="PRACTICAL - PG"),'Paste here'!M4,"  -NA-  ")</f>
        <v xml:space="preserve">  -NA-  </v>
      </c>
      <c r="BN4" s="62" t="str">
        <f>IF(OR(G4="PRACTICAL - UG",G4="PRACTICAL - PG"),'Paste here'!N4,"  -NA-  ")</f>
        <v xml:space="preserve">  -NA-  </v>
      </c>
      <c r="BO4" s="62" t="str">
        <f>IF(OR(AG4="ENGLISH",AG4="MBA"),"",IF(OR(G4="PRACTICAL - UG",G4="PRACTICAL - PG"),Technician!J4,"  -NA-  "))</f>
        <v xml:space="preserve">  -NA-  </v>
      </c>
      <c r="BP4" s="62" t="str">
        <f>IF(OR(G4="PRACTICAL - UG",G4="PRACTICAL - PG"),'Paste here'!AU4,"  -NA-  ")</f>
        <v xml:space="preserve">  -NA-  </v>
      </c>
      <c r="BQ4" s="62" t="str">
        <f>UPPER(IF(OR(,G4="PRACTICAL - UG",G4="PRACTICAL - PG"),'Paste here'!AV4,"  -NA-  "))</f>
        <v xml:space="preserve">  -NA-  </v>
      </c>
      <c r="BR4" s="62" t="str">
        <f>UPPER(IF(OR(G4="PRACTICAL - UG",G4="PRACTICAL - PG"),'Paste here'!AW4,"  -NA-  "))</f>
        <v xml:space="preserve">  -NA-  </v>
      </c>
      <c r="BS4" s="62" t="str">
        <f>UPPER(IF(OR(G4="PRACTICAL - UG",G4="PRACTICAL - PG"),'Paste here'!AX4,"  -NA-  "))</f>
        <v xml:space="preserve">  -NA-  </v>
      </c>
      <c r="BT4" s="39" t="str">
        <f>IF(OR(AG4="ENGLISH",AG4="MBA"),"",IF(OR(G4="PRACTICAL - UG",G4="PRACTICAL - PG"),Technician!L4,""))</f>
        <v/>
      </c>
    </row>
    <row r="5" spans="1:72" s="13" customFormat="1" ht="19.899999999999999" customHeight="1" x14ac:dyDescent="0.25">
      <c r="A5" s="5">
        <f>'Paste here'!A5</f>
        <v>0</v>
      </c>
      <c r="B5" s="39">
        <f>'Paste here'!F5</f>
        <v>0</v>
      </c>
      <c r="C5" s="39">
        <f>'Paste here'!J5</f>
        <v>0</v>
      </c>
      <c r="D5" s="39">
        <f>'Paste here'!K5</f>
        <v>0</v>
      </c>
      <c r="E5" s="39" t="str">
        <f>UPPER('Paste here'!H5)</f>
        <v/>
      </c>
      <c r="F5" s="39">
        <f>'Paste here'!I5</f>
        <v>0</v>
      </c>
      <c r="G5" s="39">
        <f>'Paste here'!G5</f>
        <v>0</v>
      </c>
      <c r="H5" s="84">
        <f>'Paste here'!D5</f>
        <v>0</v>
      </c>
      <c r="I5" s="39">
        <f>'Paste here'!E5</f>
        <v>0</v>
      </c>
      <c r="J5" s="63"/>
      <c r="K5" s="39">
        <f>'Paste here'!O5</f>
        <v>0</v>
      </c>
      <c r="L5" s="67" t="str">
        <f>UPPER('Paste here'!P5)</f>
        <v/>
      </c>
      <c r="M5" s="39">
        <f>'Paste here'!S5</f>
        <v>0</v>
      </c>
      <c r="N5" s="39">
        <f>'Paste here'!R5</f>
        <v>0</v>
      </c>
      <c r="O5" s="39">
        <f>'Paste here'!T5</f>
        <v>0</v>
      </c>
      <c r="P5" s="5" t="e">
        <f>IF(VLOOKUP(O5,'Distance matrix'!B$2:C$238,2,FALSE)&lt;36,"&lt;35",VLOOKUP(O5,'Distance matrix'!B$2:C$238,2,FALSE))</f>
        <v>#N/A</v>
      </c>
      <c r="Q5" s="39">
        <f>'Paste here'!Q5</f>
        <v>0</v>
      </c>
      <c r="R5" s="39">
        <f>'Paste here'!M5</f>
        <v>0</v>
      </c>
      <c r="S5" s="39">
        <f>'Paste here'!N5</f>
        <v>0</v>
      </c>
      <c r="T5" s="65" t="e">
        <f>External!K5</f>
        <v>#N/A</v>
      </c>
      <c r="U5" s="62">
        <f>External!M5</f>
        <v>0</v>
      </c>
      <c r="V5" s="62">
        <f>External!L5</f>
        <v>0</v>
      </c>
      <c r="W5" s="62" t="e">
        <f>External!N5</f>
        <v>#N/A</v>
      </c>
      <c r="X5" s="39">
        <f>'Paste here'!U5</f>
        <v>0</v>
      </c>
      <c r="Y5" s="39" t="str">
        <f>UPPER('Paste here'!V5)</f>
        <v/>
      </c>
      <c r="Z5" s="39" t="str">
        <f>UPPER('Paste here'!W5)</f>
        <v/>
      </c>
      <c r="AA5" s="39" t="str">
        <f>UPPER('Paste here'!X5)</f>
        <v/>
      </c>
      <c r="AB5" s="39" t="e">
        <f>External!O5</f>
        <v>#VALUE!</v>
      </c>
      <c r="AC5" s="63"/>
      <c r="AD5" s="62">
        <f>'Paste here'!Y5</f>
        <v>0</v>
      </c>
      <c r="AE5" s="62" t="str">
        <f>UPPER('Paste here'!Z5)</f>
        <v/>
      </c>
      <c r="AF5" s="62">
        <f>'Paste here'!AC5</f>
        <v>0</v>
      </c>
      <c r="AG5" s="62">
        <f>'Paste here'!AB5</f>
        <v>0</v>
      </c>
      <c r="AH5" s="62" t="s">
        <v>47</v>
      </c>
      <c r="AI5" s="62">
        <f>'Paste here'!AA5</f>
        <v>0</v>
      </c>
      <c r="AJ5" s="62">
        <f>'Paste here'!M5</f>
        <v>0</v>
      </c>
      <c r="AK5" s="62">
        <f>'Paste here'!N5</f>
        <v>0</v>
      </c>
      <c r="AL5" s="62" t="e">
        <f>Internal!L5</f>
        <v>#N/A</v>
      </c>
      <c r="AM5" s="62">
        <f>'Paste here'!AD5</f>
        <v>0</v>
      </c>
      <c r="AN5" s="62" t="str">
        <f>UPPER('Paste here'!AE5)</f>
        <v/>
      </c>
      <c r="AO5" s="62" t="str">
        <f>UPPER('Paste here'!AF5)</f>
        <v/>
      </c>
      <c r="AP5" s="62" t="str">
        <f>UPPER('Paste here'!AG5)</f>
        <v/>
      </c>
      <c r="AQ5" s="62" t="e">
        <f>Internal!M5</f>
        <v>#VALUE!</v>
      </c>
      <c r="AR5" s="63"/>
      <c r="AS5" s="62" t="str">
        <f>IF(OR(G5="TCPL",G5="PRACTICAL - UG",G5="PRACTICAL - PG"),'Paste here'!AH5,"")</f>
        <v/>
      </c>
      <c r="AT5" s="62" t="str">
        <f>UPPER(IF(OR(G5="TCPL",G5="PRACTICAL - UG",G5="PRACTICAL - PG"),'Paste here'!AI5,"  -NA-  "))</f>
        <v xml:space="preserve">  -NA-  </v>
      </c>
      <c r="AU5" s="62" t="str">
        <f>IF(OR(G5="TCPL",G5="PRACTICAL - UG",G5="PRACTICAL - PG"),'Paste here'!AL5,"  -NA-  ")</f>
        <v xml:space="preserve">  -NA-  </v>
      </c>
      <c r="AV5" s="62" t="str">
        <f>IF(OR(G5="TCPL",G5="PRACTICAL - UG",G5="PRACTICAL - PG"),'Paste here'!AK5,"  -NA-  ")</f>
        <v xml:space="preserve">  -NA-  </v>
      </c>
      <c r="AW5" s="62" t="str">
        <f t="shared" si="0"/>
        <v xml:space="preserve">  -NA-  </v>
      </c>
      <c r="AX5" s="62" t="str">
        <f>IF(OR(G5="TCPL",G5="PRACTICAL - UG",G5="PRACTICAL - PG"),'Paste here'!AJ5,"  -NA-  ")</f>
        <v xml:space="preserve">  -NA-  </v>
      </c>
      <c r="AY5" s="62" t="str">
        <f>IF(OR(G5="TCPL",G5="PRACTICAL - UG",G5="PRACTICAL - PG"),'Paste here'!M5,"  -NA-  ")</f>
        <v xml:space="preserve">  -NA-  </v>
      </c>
      <c r="AZ5" s="62" t="str">
        <f>IF(OR(G5="TCPL",G5="PRACTICAL - UG",G5="PRACTICAL - PG"),'Paste here'!N5,"  -NA-  ")</f>
        <v xml:space="preserve">  -NA-  </v>
      </c>
      <c r="BA5" s="62" t="str">
        <f>IF(OR(G5="TCPL",G5="PRACTICAL - UG",G5="PRACTICAL - PG"),Skilled!K5,"  -NA-  ")</f>
        <v xml:space="preserve">  -NA-  </v>
      </c>
      <c r="BB5" s="62" t="str">
        <f>IF(OR(G5="TCPL",G5="PRACTICAL - UG",G5="PRACTICAL - PG"),'Paste here'!AM5,"  -NA-  ")</f>
        <v xml:space="preserve">  -NA-  </v>
      </c>
      <c r="BC5" s="62" t="str">
        <f>UPPER(IF(OR(G5="TCPL",G5="PRACTICAL - UG",G5="PRACTICAL - PG"),'Paste here'!AN5,"  -NA-  "))</f>
        <v xml:space="preserve">  -NA-  </v>
      </c>
      <c r="BD5" s="62" t="str">
        <f>UPPER(IF(OR(G5="TCPL",G5="PRACTICAL - UG",G5="PRACTICAL - PG"),'Paste here'!AO5,"  -NA-  "))</f>
        <v xml:space="preserve">  -NA-  </v>
      </c>
      <c r="BE5" s="62" t="str">
        <f>UPPER(IF(OR(G5="TCPL",G5="PRACTICAL - UG",G5="PRACTICAL - PG"),'Paste here'!AP5,"  -NA-  "))</f>
        <v xml:space="preserve">  -NA-  </v>
      </c>
      <c r="BF5" s="62" t="str">
        <f>IF(OR(G5="TCPL",G5="PRACTICAL - UG",G5="PRACTICAL - PG"),Skilled!L5,"")</f>
        <v/>
      </c>
      <c r="BG5" s="63"/>
      <c r="BH5" s="62" t="str">
        <f>IF(OR(AG5="ENGLISH",AG5="MBA"),"",IF(OR(G5="PRACTICAL - UG",G5="PRACTICAL - PG"),'Paste here'!AQ5,""))</f>
        <v/>
      </c>
      <c r="BI5" s="62" t="str">
        <f>UPPER(IF(OR(G5="PRACTICAL - UG",G5="PRACTICAL - PG"),'Paste here'!AR5,"  -NA-  "))</f>
        <v xml:space="preserve">  -NA-  </v>
      </c>
      <c r="BJ5" s="62" t="str">
        <f>IF(OR(G5="PRACTICAL - UG",G5="PRACTICAL - PG"),'Paste here'!AT5,"  -NA-  ")</f>
        <v xml:space="preserve">  -NA-  </v>
      </c>
      <c r="BK5" s="62" t="str">
        <f t="shared" si="1"/>
        <v xml:space="preserve">  -NA-  </v>
      </c>
      <c r="BL5" s="62" t="str">
        <f>IF(OR(G5="PRACTICAL - UG",G5="PRACTICAL - PG"),'Paste here'!AS5,"  -NA-  ")</f>
        <v xml:space="preserve">  -NA-  </v>
      </c>
      <c r="BM5" s="62" t="str">
        <f>IF(OR(G5="PRACTICAL - UG",G5="PRACTICAL - PG"),'Paste here'!M5,"  -NA-  ")</f>
        <v xml:space="preserve">  -NA-  </v>
      </c>
      <c r="BN5" s="62" t="str">
        <f>IF(OR(G5="PRACTICAL - UG",G5="PRACTICAL - PG"),'Paste here'!N5,"  -NA-  ")</f>
        <v xml:space="preserve">  -NA-  </v>
      </c>
      <c r="BO5" s="62" t="str">
        <f>IF(OR(AG5="ENGLISH",AG5="MBA"),"",IF(OR(G5="PRACTICAL - UG",G5="PRACTICAL - PG"),Technician!J5,"  -NA-  "))</f>
        <v xml:space="preserve">  -NA-  </v>
      </c>
      <c r="BP5" s="62" t="str">
        <f>IF(OR(G5="PRACTICAL - UG",G5="PRACTICAL - PG"),'Paste here'!AU5,"  -NA-  ")</f>
        <v xml:space="preserve">  -NA-  </v>
      </c>
      <c r="BQ5" s="62" t="str">
        <f>UPPER(IF(OR(,G5="PRACTICAL - UG",G5="PRACTICAL - PG"),'Paste here'!AV5,"  -NA-  "))</f>
        <v xml:space="preserve">  -NA-  </v>
      </c>
      <c r="BR5" s="62" t="str">
        <f>UPPER(IF(OR(G5="PRACTICAL - UG",G5="PRACTICAL - PG"),'Paste here'!AW5,"  -NA-  "))</f>
        <v xml:space="preserve">  -NA-  </v>
      </c>
      <c r="BS5" s="62" t="str">
        <f>UPPER(IF(OR(G5="PRACTICAL - UG",G5="PRACTICAL - PG"),'Paste here'!AX5,"  -NA-  "))</f>
        <v xml:space="preserve">  -NA-  </v>
      </c>
      <c r="BT5" s="39" t="str">
        <f>IF(OR(AG5="ENGLISH",AG5="MBA"),"",IF(OR(G5="PRACTICAL - UG",G5="PRACTICAL - PG"),Technician!L5,""))</f>
        <v/>
      </c>
    </row>
    <row r="6" spans="1:72" s="13" customFormat="1" ht="19.899999999999999" customHeight="1" x14ac:dyDescent="0.25">
      <c r="A6" s="5">
        <f>'Paste here'!A6</f>
        <v>0</v>
      </c>
      <c r="B6" s="39">
        <f>'Paste here'!F6</f>
        <v>0</v>
      </c>
      <c r="C6" s="39">
        <f>'Paste here'!J6</f>
        <v>0</v>
      </c>
      <c r="D6" s="39">
        <f>'Paste here'!K6</f>
        <v>0</v>
      </c>
      <c r="E6" s="39" t="str">
        <f>UPPER('Paste here'!H6)</f>
        <v/>
      </c>
      <c r="F6" s="39">
        <f>'Paste here'!I6</f>
        <v>0</v>
      </c>
      <c r="G6" s="39">
        <f>'Paste here'!G6</f>
        <v>0</v>
      </c>
      <c r="H6" s="84">
        <f>'Paste here'!D6</f>
        <v>0</v>
      </c>
      <c r="I6" s="39">
        <f>'Paste here'!E6</f>
        <v>0</v>
      </c>
      <c r="J6" s="63"/>
      <c r="K6" s="39">
        <f>'Paste here'!O6</f>
        <v>0</v>
      </c>
      <c r="L6" s="67" t="str">
        <f>UPPER('Paste here'!P6)</f>
        <v/>
      </c>
      <c r="M6" s="39">
        <f>'Paste here'!S6</f>
        <v>0</v>
      </c>
      <c r="N6" s="39">
        <f>'Paste here'!R6</f>
        <v>0</v>
      </c>
      <c r="O6" s="39">
        <f>'Paste here'!T6</f>
        <v>0</v>
      </c>
      <c r="P6" s="5" t="e">
        <f>IF(VLOOKUP(O6,'Distance matrix'!B$2:C$238,2,FALSE)&lt;36,"&lt;35",VLOOKUP(O6,'Distance matrix'!B$2:C$238,2,FALSE))</f>
        <v>#N/A</v>
      </c>
      <c r="Q6" s="39">
        <f>'Paste here'!Q6</f>
        <v>0</v>
      </c>
      <c r="R6" s="39">
        <f>'Paste here'!M6</f>
        <v>0</v>
      </c>
      <c r="S6" s="39">
        <f>'Paste here'!N6</f>
        <v>0</v>
      </c>
      <c r="T6" s="65" t="e">
        <f>External!K6</f>
        <v>#N/A</v>
      </c>
      <c r="U6" s="62">
        <f>External!M6</f>
        <v>0</v>
      </c>
      <c r="V6" s="62">
        <f>External!L6</f>
        <v>0</v>
      </c>
      <c r="W6" s="62" t="e">
        <f>External!N6</f>
        <v>#N/A</v>
      </c>
      <c r="X6" s="39">
        <f>'Paste here'!U6</f>
        <v>0</v>
      </c>
      <c r="Y6" s="39" t="str">
        <f>UPPER('Paste here'!V6)</f>
        <v/>
      </c>
      <c r="Z6" s="39" t="str">
        <f>UPPER('Paste here'!W6)</f>
        <v/>
      </c>
      <c r="AA6" s="39" t="str">
        <f>UPPER('Paste here'!X6)</f>
        <v/>
      </c>
      <c r="AB6" s="39" t="e">
        <f>External!O6</f>
        <v>#VALUE!</v>
      </c>
      <c r="AC6" s="63"/>
      <c r="AD6" s="62">
        <f>'Paste here'!Y6</f>
        <v>0</v>
      </c>
      <c r="AE6" s="62" t="str">
        <f>UPPER('Paste here'!Z6)</f>
        <v/>
      </c>
      <c r="AF6" s="62">
        <f>'Paste here'!AC6</f>
        <v>0</v>
      </c>
      <c r="AG6" s="62">
        <f>'Paste here'!AB6</f>
        <v>0</v>
      </c>
      <c r="AH6" s="62" t="s">
        <v>47</v>
      </c>
      <c r="AI6" s="62">
        <f>'Paste here'!AA6</f>
        <v>0</v>
      </c>
      <c r="AJ6" s="62">
        <f>'Paste here'!M6</f>
        <v>0</v>
      </c>
      <c r="AK6" s="62">
        <f>'Paste here'!N6</f>
        <v>0</v>
      </c>
      <c r="AL6" s="62" t="e">
        <f>Internal!L6</f>
        <v>#N/A</v>
      </c>
      <c r="AM6" s="62">
        <f>'Paste here'!AD6</f>
        <v>0</v>
      </c>
      <c r="AN6" s="62" t="str">
        <f>UPPER('Paste here'!AE6)</f>
        <v/>
      </c>
      <c r="AO6" s="62" t="str">
        <f>UPPER('Paste here'!AF6)</f>
        <v/>
      </c>
      <c r="AP6" s="62" t="str">
        <f>UPPER('Paste here'!AG6)</f>
        <v/>
      </c>
      <c r="AQ6" s="62" t="e">
        <f>Internal!M6</f>
        <v>#VALUE!</v>
      </c>
      <c r="AR6" s="63"/>
      <c r="AS6" s="62" t="str">
        <f>IF(OR(G6="TCPL",G6="PRACTICAL - UG",G6="PRACTICAL - PG"),'Paste here'!AH6,"")</f>
        <v/>
      </c>
      <c r="AT6" s="62" t="str">
        <f>UPPER(IF(OR(G6="TCPL",G6="PRACTICAL - UG",G6="PRACTICAL - PG"),'Paste here'!AI6,"  -NA-  "))</f>
        <v xml:space="preserve">  -NA-  </v>
      </c>
      <c r="AU6" s="62" t="str">
        <f>IF(OR(G6="TCPL",G6="PRACTICAL - UG",G6="PRACTICAL - PG"),'Paste here'!AL6,"  -NA-  ")</f>
        <v xml:space="preserve">  -NA-  </v>
      </c>
      <c r="AV6" s="62" t="str">
        <f>IF(OR(G6="TCPL",G6="PRACTICAL - UG",G6="PRACTICAL - PG"),'Paste here'!AK6,"  -NA-  ")</f>
        <v xml:space="preserve">  -NA-  </v>
      </c>
      <c r="AW6" s="62" t="str">
        <f t="shared" si="0"/>
        <v xml:space="preserve">  -NA-  </v>
      </c>
      <c r="AX6" s="62" t="str">
        <f>IF(OR(G6="TCPL",G6="PRACTICAL - UG",G6="PRACTICAL - PG"),'Paste here'!AJ6,"  -NA-  ")</f>
        <v xml:space="preserve">  -NA-  </v>
      </c>
      <c r="AY6" s="62" t="str">
        <f>IF(OR(G6="TCPL",G6="PRACTICAL - UG",G6="PRACTICAL - PG"),'Paste here'!M6,"  -NA-  ")</f>
        <v xml:space="preserve">  -NA-  </v>
      </c>
      <c r="AZ6" s="62" t="str">
        <f>IF(OR(G6="TCPL",G6="PRACTICAL - UG",G6="PRACTICAL - PG"),'Paste here'!N6,"  -NA-  ")</f>
        <v xml:space="preserve">  -NA-  </v>
      </c>
      <c r="BA6" s="62" t="str">
        <f>IF(OR(G6="TCPL",G6="PRACTICAL - UG",G6="PRACTICAL - PG"),Skilled!K6,"  -NA-  ")</f>
        <v xml:space="preserve">  -NA-  </v>
      </c>
      <c r="BB6" s="62" t="str">
        <f>IF(OR(G6="TCPL",G6="PRACTICAL - UG",G6="PRACTICAL - PG"),'Paste here'!AM6,"  -NA-  ")</f>
        <v xml:space="preserve">  -NA-  </v>
      </c>
      <c r="BC6" s="62" t="str">
        <f>UPPER(IF(OR(G6="TCPL",G6="PRACTICAL - UG",G6="PRACTICAL - PG"),'Paste here'!AN6,"  -NA-  "))</f>
        <v xml:space="preserve">  -NA-  </v>
      </c>
      <c r="BD6" s="62" t="str">
        <f>UPPER(IF(OR(G6="TCPL",G6="PRACTICAL - UG",G6="PRACTICAL - PG"),'Paste here'!AO6,"  -NA-  "))</f>
        <v xml:space="preserve">  -NA-  </v>
      </c>
      <c r="BE6" s="62" t="str">
        <f>UPPER(IF(OR(G6="TCPL",G6="PRACTICAL - UG",G6="PRACTICAL - PG"),'Paste here'!AP6,"  -NA-  "))</f>
        <v xml:space="preserve">  -NA-  </v>
      </c>
      <c r="BF6" s="62" t="str">
        <f>IF(OR(G6="TCPL",G6="PRACTICAL - UG",G6="PRACTICAL - PG"),Skilled!L6,"")</f>
        <v/>
      </c>
      <c r="BG6" s="63"/>
      <c r="BH6" s="62" t="str">
        <f>IF(OR(AG6="ENGLISH",AG6="MBA"),"",IF(OR(G6="PRACTICAL - UG",G6="PRACTICAL - PG"),'Paste here'!AQ6,""))</f>
        <v/>
      </c>
      <c r="BI6" s="62" t="str">
        <f>UPPER(IF(OR(G6="PRACTICAL - UG",G6="PRACTICAL - PG"),'Paste here'!AR6,"  -NA-  "))</f>
        <v xml:space="preserve">  -NA-  </v>
      </c>
      <c r="BJ6" s="62" t="str">
        <f>IF(OR(G6="PRACTICAL - UG",G6="PRACTICAL - PG"),'Paste here'!AT6,"  -NA-  ")</f>
        <v xml:space="preserve">  -NA-  </v>
      </c>
      <c r="BK6" s="62" t="str">
        <f t="shared" si="1"/>
        <v xml:space="preserve">  -NA-  </v>
      </c>
      <c r="BL6" s="62" t="str">
        <f>IF(OR(G6="PRACTICAL - UG",G6="PRACTICAL - PG"),'Paste here'!AS6,"  -NA-  ")</f>
        <v xml:space="preserve">  -NA-  </v>
      </c>
      <c r="BM6" s="62" t="str">
        <f>IF(OR(G6="PRACTICAL - UG",G6="PRACTICAL - PG"),'Paste here'!M6,"  -NA-  ")</f>
        <v xml:space="preserve">  -NA-  </v>
      </c>
      <c r="BN6" s="62" t="str">
        <f>IF(OR(G6="PRACTICAL - UG",G6="PRACTICAL - PG"),'Paste here'!N6,"  -NA-  ")</f>
        <v xml:space="preserve">  -NA-  </v>
      </c>
      <c r="BO6" s="62" t="str">
        <f>IF(OR(AG6="ENGLISH",AG6="MBA"),"",IF(OR(G6="PRACTICAL - UG",G6="PRACTICAL - PG"),Technician!J6,"  -NA-  "))</f>
        <v xml:space="preserve">  -NA-  </v>
      </c>
      <c r="BP6" s="62" t="str">
        <f>IF(OR(G6="PRACTICAL - UG",G6="PRACTICAL - PG"),'Paste here'!AU6,"  -NA-  ")</f>
        <v xml:space="preserve">  -NA-  </v>
      </c>
      <c r="BQ6" s="62" t="str">
        <f>UPPER(IF(OR(,G6="PRACTICAL - UG",G6="PRACTICAL - PG"),'Paste here'!AV6,"  -NA-  "))</f>
        <v xml:space="preserve">  -NA-  </v>
      </c>
      <c r="BR6" s="62" t="str">
        <f>UPPER(IF(OR(G6="PRACTICAL - UG",G6="PRACTICAL - PG"),'Paste here'!AW6,"  -NA-  "))</f>
        <v xml:space="preserve">  -NA-  </v>
      </c>
      <c r="BS6" s="62" t="str">
        <f>UPPER(IF(OR(G6="PRACTICAL - UG",G6="PRACTICAL - PG"),'Paste here'!AX6,"  -NA-  "))</f>
        <v xml:space="preserve">  -NA-  </v>
      </c>
      <c r="BT6" s="39" t="str">
        <f>IF(OR(AG6="ENGLISH",AG6="MBA"),"",IF(OR(G6="PRACTICAL - UG",G6="PRACTICAL - PG"),Technician!L6,""))</f>
        <v/>
      </c>
    </row>
    <row r="7" spans="1:72" s="13" customFormat="1" ht="19.899999999999999" customHeight="1" x14ac:dyDescent="0.25">
      <c r="A7" s="5">
        <f>'Paste here'!A7</f>
        <v>0</v>
      </c>
      <c r="B7" s="39">
        <f>'Paste here'!F7</f>
        <v>0</v>
      </c>
      <c r="C7" s="39">
        <f>'Paste here'!J7</f>
        <v>0</v>
      </c>
      <c r="D7" s="39">
        <f>'Paste here'!K7</f>
        <v>0</v>
      </c>
      <c r="E7" s="39" t="str">
        <f>UPPER('Paste here'!H7)</f>
        <v/>
      </c>
      <c r="F7" s="39">
        <f>'Paste here'!I7</f>
        <v>0</v>
      </c>
      <c r="G7" s="39">
        <f>'Paste here'!G7</f>
        <v>0</v>
      </c>
      <c r="H7" s="84">
        <f>'Paste here'!D7</f>
        <v>0</v>
      </c>
      <c r="I7" s="39">
        <f>'Paste here'!E7</f>
        <v>0</v>
      </c>
      <c r="J7" s="63"/>
      <c r="K7" s="39">
        <f>'Paste here'!O7</f>
        <v>0</v>
      </c>
      <c r="L7" s="67" t="str">
        <f>UPPER('Paste here'!P7)</f>
        <v/>
      </c>
      <c r="M7" s="39">
        <f>'Paste here'!S7</f>
        <v>0</v>
      </c>
      <c r="N7" s="39">
        <f>'Paste here'!R7</f>
        <v>0</v>
      </c>
      <c r="O7" s="39">
        <f>'Paste here'!T7</f>
        <v>0</v>
      </c>
      <c r="P7" s="5" t="e">
        <f>IF(VLOOKUP(O7,'Distance matrix'!B$2:C$238,2,FALSE)&lt;36,"&lt;35",VLOOKUP(O7,'Distance matrix'!B$2:C$238,2,FALSE))</f>
        <v>#N/A</v>
      </c>
      <c r="Q7" s="39">
        <f>'Paste here'!Q7</f>
        <v>0</v>
      </c>
      <c r="R7" s="39">
        <f>'Paste here'!M7</f>
        <v>0</v>
      </c>
      <c r="S7" s="39">
        <f>'Paste here'!N7</f>
        <v>0</v>
      </c>
      <c r="T7" s="65" t="e">
        <f>External!K7</f>
        <v>#N/A</v>
      </c>
      <c r="U7" s="62">
        <f>External!M7</f>
        <v>0</v>
      </c>
      <c r="V7" s="62">
        <f>External!L7</f>
        <v>0</v>
      </c>
      <c r="W7" s="62" t="e">
        <f>External!N7</f>
        <v>#N/A</v>
      </c>
      <c r="X7" s="39">
        <f>'Paste here'!U7</f>
        <v>0</v>
      </c>
      <c r="Y7" s="39" t="str">
        <f>UPPER('Paste here'!V7)</f>
        <v/>
      </c>
      <c r="Z7" s="39" t="str">
        <f>UPPER('Paste here'!W7)</f>
        <v/>
      </c>
      <c r="AA7" s="39" t="str">
        <f>UPPER('Paste here'!X7)</f>
        <v/>
      </c>
      <c r="AB7" s="39" t="e">
        <f>External!O7</f>
        <v>#VALUE!</v>
      </c>
      <c r="AC7" s="63"/>
      <c r="AD7" s="62">
        <f>'Paste here'!Y7</f>
        <v>0</v>
      </c>
      <c r="AE7" s="62" t="str">
        <f>UPPER('Paste here'!Z7)</f>
        <v/>
      </c>
      <c r="AF7" s="62">
        <f>'Paste here'!AC7</f>
        <v>0</v>
      </c>
      <c r="AG7" s="62">
        <f>'Paste here'!AB7</f>
        <v>0</v>
      </c>
      <c r="AH7" s="62" t="s">
        <v>47</v>
      </c>
      <c r="AI7" s="62">
        <f>'Paste here'!AA7</f>
        <v>0</v>
      </c>
      <c r="AJ7" s="62">
        <f>'Paste here'!M7</f>
        <v>0</v>
      </c>
      <c r="AK7" s="62">
        <f>'Paste here'!N7</f>
        <v>0</v>
      </c>
      <c r="AL7" s="62" t="e">
        <f>Internal!L7</f>
        <v>#N/A</v>
      </c>
      <c r="AM7" s="62">
        <f>'Paste here'!AD7</f>
        <v>0</v>
      </c>
      <c r="AN7" s="62" t="str">
        <f>UPPER('Paste here'!AE7)</f>
        <v/>
      </c>
      <c r="AO7" s="62" t="str">
        <f>UPPER('Paste here'!AF7)</f>
        <v/>
      </c>
      <c r="AP7" s="62" t="str">
        <f>UPPER('Paste here'!AG7)</f>
        <v/>
      </c>
      <c r="AQ7" s="62" t="e">
        <f>Internal!M7</f>
        <v>#VALUE!</v>
      </c>
      <c r="AR7" s="63"/>
      <c r="AS7" s="62" t="str">
        <f>IF(OR(G7="TCPL",G7="PRACTICAL - UG",G7="PRACTICAL - PG"),'Paste here'!AH7,"")</f>
        <v/>
      </c>
      <c r="AT7" s="62" t="str">
        <f>UPPER(IF(OR(G7="TCPL",G7="PRACTICAL - UG",G7="PRACTICAL - PG"),'Paste here'!AI7,"  -NA-  "))</f>
        <v xml:space="preserve">  -NA-  </v>
      </c>
      <c r="AU7" s="62" t="str">
        <f>IF(OR(G7="TCPL",G7="PRACTICAL - UG",G7="PRACTICAL - PG"),'Paste here'!AL7,"  -NA-  ")</f>
        <v xml:space="preserve">  -NA-  </v>
      </c>
      <c r="AV7" s="62" t="str">
        <f>IF(OR(G7="TCPL",G7="PRACTICAL - UG",G7="PRACTICAL - PG"),'Paste here'!AK7,"  -NA-  ")</f>
        <v xml:space="preserve">  -NA-  </v>
      </c>
      <c r="AW7" s="62" t="str">
        <f t="shared" si="0"/>
        <v xml:space="preserve">  -NA-  </v>
      </c>
      <c r="AX7" s="62" t="str">
        <f>IF(OR(G7="TCPL",G7="PRACTICAL - UG",G7="PRACTICAL - PG"),'Paste here'!AJ7,"  -NA-  ")</f>
        <v xml:space="preserve">  -NA-  </v>
      </c>
      <c r="AY7" s="62" t="str">
        <f>IF(OR(G7="TCPL",G7="PRACTICAL - UG",G7="PRACTICAL - PG"),'Paste here'!M7,"  -NA-  ")</f>
        <v xml:space="preserve">  -NA-  </v>
      </c>
      <c r="AZ7" s="62" t="str">
        <f>IF(OR(G7="TCPL",G7="PRACTICAL - UG",G7="PRACTICAL - PG"),'Paste here'!N7,"  -NA-  ")</f>
        <v xml:space="preserve">  -NA-  </v>
      </c>
      <c r="BA7" s="62" t="str">
        <f>IF(OR(G7="TCPL",G7="PRACTICAL - UG",G7="PRACTICAL - PG"),Skilled!K7,"  -NA-  ")</f>
        <v xml:space="preserve">  -NA-  </v>
      </c>
      <c r="BB7" s="62" t="str">
        <f>IF(OR(G7="TCPL",G7="PRACTICAL - UG",G7="PRACTICAL - PG"),'Paste here'!AM7,"  -NA-  ")</f>
        <v xml:space="preserve">  -NA-  </v>
      </c>
      <c r="BC7" s="62" t="str">
        <f>UPPER(IF(OR(G7="TCPL",G7="PRACTICAL - UG",G7="PRACTICAL - PG"),'Paste here'!AN7,"  -NA-  "))</f>
        <v xml:space="preserve">  -NA-  </v>
      </c>
      <c r="BD7" s="62" t="str">
        <f>UPPER(IF(OR(G7="TCPL",G7="PRACTICAL - UG",G7="PRACTICAL - PG"),'Paste here'!AO7,"  -NA-  "))</f>
        <v xml:space="preserve">  -NA-  </v>
      </c>
      <c r="BE7" s="62" t="str">
        <f>UPPER(IF(OR(G7="TCPL",G7="PRACTICAL - UG",G7="PRACTICAL - PG"),'Paste here'!AP7,"  -NA-  "))</f>
        <v xml:space="preserve">  -NA-  </v>
      </c>
      <c r="BF7" s="62" t="str">
        <f>IF(OR(G7="TCPL",G7="PRACTICAL - UG",G7="PRACTICAL - PG"),Skilled!L7,"")</f>
        <v/>
      </c>
      <c r="BG7" s="63"/>
      <c r="BH7" s="62" t="str">
        <f>IF(OR(AG7="ENGLISH",AG7="MBA"),"",IF(OR(G7="PRACTICAL - UG",G7="PRACTICAL - PG"),'Paste here'!AQ7,""))</f>
        <v/>
      </c>
      <c r="BI7" s="62" t="str">
        <f>UPPER(IF(OR(G7="PRACTICAL - UG",G7="PRACTICAL - PG"),'Paste here'!AR7,"  -NA-  "))</f>
        <v xml:space="preserve">  -NA-  </v>
      </c>
      <c r="BJ7" s="62" t="str">
        <f>IF(OR(G7="PRACTICAL - UG",G7="PRACTICAL - PG"),'Paste here'!AT7,"  -NA-  ")</f>
        <v xml:space="preserve">  -NA-  </v>
      </c>
      <c r="BK7" s="62" t="str">
        <f t="shared" si="1"/>
        <v xml:space="preserve">  -NA-  </v>
      </c>
      <c r="BL7" s="62" t="str">
        <f>IF(OR(G7="PRACTICAL - UG",G7="PRACTICAL - PG"),'Paste here'!AS7,"  -NA-  ")</f>
        <v xml:space="preserve">  -NA-  </v>
      </c>
      <c r="BM7" s="62" t="str">
        <f>IF(OR(G7="PRACTICAL - UG",G7="PRACTICAL - PG"),'Paste here'!M7,"  -NA-  ")</f>
        <v xml:space="preserve">  -NA-  </v>
      </c>
      <c r="BN7" s="62" t="str">
        <f>IF(OR(G7="PRACTICAL - UG",G7="PRACTICAL - PG"),'Paste here'!N7,"  -NA-  ")</f>
        <v xml:space="preserve">  -NA-  </v>
      </c>
      <c r="BO7" s="62" t="str">
        <f>IF(OR(AG7="ENGLISH",AG7="MBA"),"",IF(OR(G7="PRACTICAL - UG",G7="PRACTICAL - PG"),Technician!J7,"  -NA-  "))</f>
        <v xml:space="preserve">  -NA-  </v>
      </c>
      <c r="BP7" s="62" t="str">
        <f>IF(OR(G7="PRACTICAL - UG",G7="PRACTICAL - PG"),'Paste here'!AU7,"  -NA-  ")</f>
        <v xml:space="preserve">  -NA-  </v>
      </c>
      <c r="BQ7" s="62" t="str">
        <f>UPPER(IF(OR(,G7="PRACTICAL - UG",G7="PRACTICAL - PG"),'Paste here'!AV7,"  -NA-  "))</f>
        <v xml:space="preserve">  -NA-  </v>
      </c>
      <c r="BR7" s="62" t="str">
        <f>UPPER(IF(OR(G7="PRACTICAL - UG",G7="PRACTICAL - PG"),'Paste here'!AW7,"  -NA-  "))</f>
        <v xml:space="preserve">  -NA-  </v>
      </c>
      <c r="BS7" s="62" t="str">
        <f>UPPER(IF(OR(G7="PRACTICAL - UG",G7="PRACTICAL - PG"),'Paste here'!AX7,"  -NA-  "))</f>
        <v xml:space="preserve">  -NA-  </v>
      </c>
      <c r="BT7" s="39" t="str">
        <f>IF(OR(AG7="ENGLISH",AG7="MBA"),"",IF(OR(G7="PRACTICAL - UG",G7="PRACTICAL - PG"),Technician!L7,""))</f>
        <v/>
      </c>
    </row>
    <row r="8" spans="1:72" s="13" customFormat="1" ht="19.899999999999999" customHeight="1" x14ac:dyDescent="0.25">
      <c r="A8" s="5">
        <f>'Paste here'!A8</f>
        <v>0</v>
      </c>
      <c r="B8" s="39">
        <f>'Paste here'!F8</f>
        <v>0</v>
      </c>
      <c r="C8" s="39">
        <f>'Paste here'!J8</f>
        <v>0</v>
      </c>
      <c r="D8" s="39">
        <f>'Paste here'!K8</f>
        <v>0</v>
      </c>
      <c r="E8" s="39" t="str">
        <f>UPPER('Paste here'!H8)</f>
        <v/>
      </c>
      <c r="F8" s="39">
        <f>'Paste here'!I8</f>
        <v>0</v>
      </c>
      <c r="G8" s="39">
        <f>'Paste here'!G8</f>
        <v>0</v>
      </c>
      <c r="H8" s="84">
        <f>'Paste here'!D8</f>
        <v>0</v>
      </c>
      <c r="I8" s="39">
        <f>'Paste here'!E8</f>
        <v>0</v>
      </c>
      <c r="J8" s="63"/>
      <c r="K8" s="39">
        <f>'Paste here'!O8</f>
        <v>0</v>
      </c>
      <c r="L8" s="67" t="str">
        <f>UPPER('Paste here'!P8)</f>
        <v/>
      </c>
      <c r="M8" s="39">
        <f>'Paste here'!S8</f>
        <v>0</v>
      </c>
      <c r="N8" s="39">
        <f>'Paste here'!R8</f>
        <v>0</v>
      </c>
      <c r="O8" s="39">
        <f>'Paste here'!T8</f>
        <v>0</v>
      </c>
      <c r="P8" s="5" t="e">
        <f>IF(VLOOKUP(O8,'Distance matrix'!B$2:C$238,2,FALSE)&lt;36,"&lt;35",VLOOKUP(O8,'Distance matrix'!B$2:C$238,2,FALSE))</f>
        <v>#N/A</v>
      </c>
      <c r="Q8" s="39">
        <f>'Paste here'!Q8</f>
        <v>0</v>
      </c>
      <c r="R8" s="39">
        <f>'Paste here'!M8</f>
        <v>0</v>
      </c>
      <c r="S8" s="39">
        <f>'Paste here'!N8</f>
        <v>0</v>
      </c>
      <c r="T8" s="65" t="e">
        <f>External!K8</f>
        <v>#N/A</v>
      </c>
      <c r="U8" s="62">
        <f>External!M8</f>
        <v>0</v>
      </c>
      <c r="V8" s="62">
        <f>External!L8</f>
        <v>0</v>
      </c>
      <c r="W8" s="62" t="e">
        <f>External!N8</f>
        <v>#N/A</v>
      </c>
      <c r="X8" s="39">
        <f>'Paste here'!U8</f>
        <v>0</v>
      </c>
      <c r="Y8" s="39" t="str">
        <f>UPPER('Paste here'!V8)</f>
        <v/>
      </c>
      <c r="Z8" s="39" t="str">
        <f>UPPER('Paste here'!W8)</f>
        <v/>
      </c>
      <c r="AA8" s="39" t="str">
        <f>UPPER('Paste here'!X8)</f>
        <v/>
      </c>
      <c r="AB8" s="39" t="e">
        <f>External!O8</f>
        <v>#VALUE!</v>
      </c>
      <c r="AC8" s="63"/>
      <c r="AD8" s="62">
        <f>'Paste here'!Y8</f>
        <v>0</v>
      </c>
      <c r="AE8" s="62" t="str">
        <f>UPPER('Paste here'!Z8)</f>
        <v/>
      </c>
      <c r="AF8" s="62">
        <f>'Paste here'!AC8</f>
        <v>0</v>
      </c>
      <c r="AG8" s="62">
        <f>'Paste here'!AB8</f>
        <v>0</v>
      </c>
      <c r="AH8" s="62" t="s">
        <v>47</v>
      </c>
      <c r="AI8" s="62">
        <f>'Paste here'!AA8</f>
        <v>0</v>
      </c>
      <c r="AJ8" s="62">
        <f>'Paste here'!M8</f>
        <v>0</v>
      </c>
      <c r="AK8" s="62">
        <f>'Paste here'!N8</f>
        <v>0</v>
      </c>
      <c r="AL8" s="62" t="e">
        <f>Internal!L8</f>
        <v>#N/A</v>
      </c>
      <c r="AM8" s="62">
        <f>'Paste here'!AD8</f>
        <v>0</v>
      </c>
      <c r="AN8" s="62" t="str">
        <f>UPPER('Paste here'!AE8)</f>
        <v/>
      </c>
      <c r="AO8" s="62" t="str">
        <f>UPPER('Paste here'!AF8)</f>
        <v/>
      </c>
      <c r="AP8" s="62" t="str">
        <f>UPPER('Paste here'!AG8)</f>
        <v/>
      </c>
      <c r="AQ8" s="62" t="e">
        <f>Internal!M8</f>
        <v>#VALUE!</v>
      </c>
      <c r="AR8" s="63"/>
      <c r="AS8" s="62" t="str">
        <f>IF(OR(G8="TCPL",G8="PRACTICAL - UG",G8="PRACTICAL - PG"),'Paste here'!AH8,"")</f>
        <v/>
      </c>
      <c r="AT8" s="62" t="str">
        <f>UPPER(IF(OR(G8="TCPL",G8="PRACTICAL - UG",G8="PRACTICAL - PG"),'Paste here'!AI8,"  -NA-  "))</f>
        <v xml:space="preserve">  -NA-  </v>
      </c>
      <c r="AU8" s="62" t="str">
        <f>IF(OR(G8="TCPL",G8="PRACTICAL - UG",G8="PRACTICAL - PG"),'Paste here'!AL8,"  -NA-  ")</f>
        <v xml:space="preserve">  -NA-  </v>
      </c>
      <c r="AV8" s="62" t="str">
        <f>IF(OR(G8="TCPL",G8="PRACTICAL - UG",G8="PRACTICAL - PG"),'Paste here'!AK8,"  -NA-  ")</f>
        <v xml:space="preserve">  -NA-  </v>
      </c>
      <c r="AW8" s="62" t="str">
        <f t="shared" si="0"/>
        <v xml:space="preserve">  -NA-  </v>
      </c>
      <c r="AX8" s="62" t="str">
        <f>IF(OR(G8="TCPL",G8="PRACTICAL - UG",G8="PRACTICAL - PG"),'Paste here'!AJ8,"  -NA-  ")</f>
        <v xml:space="preserve">  -NA-  </v>
      </c>
      <c r="AY8" s="62" t="str">
        <f>IF(OR(G8="TCPL",G8="PRACTICAL - UG",G8="PRACTICAL - PG"),'Paste here'!M8,"  -NA-  ")</f>
        <v xml:space="preserve">  -NA-  </v>
      </c>
      <c r="AZ8" s="62" t="str">
        <f>IF(OR(G8="TCPL",G8="PRACTICAL - UG",G8="PRACTICAL - PG"),'Paste here'!N8,"  -NA-  ")</f>
        <v xml:space="preserve">  -NA-  </v>
      </c>
      <c r="BA8" s="62" t="str">
        <f>IF(OR(G8="TCPL",G8="PRACTICAL - UG",G8="PRACTICAL - PG"),Skilled!K8,"  -NA-  ")</f>
        <v xml:space="preserve">  -NA-  </v>
      </c>
      <c r="BB8" s="62" t="str">
        <f>IF(OR(G8="TCPL",G8="PRACTICAL - UG",G8="PRACTICAL - PG"),'Paste here'!AM8,"  -NA-  ")</f>
        <v xml:space="preserve">  -NA-  </v>
      </c>
      <c r="BC8" s="62" t="str">
        <f>UPPER(IF(OR(G8="TCPL",G8="PRACTICAL - UG",G8="PRACTICAL - PG"),'Paste here'!AN8,"  -NA-  "))</f>
        <v xml:space="preserve">  -NA-  </v>
      </c>
      <c r="BD8" s="62" t="str">
        <f>UPPER(IF(OR(G8="TCPL",G8="PRACTICAL - UG",G8="PRACTICAL - PG"),'Paste here'!AO8,"  -NA-  "))</f>
        <v xml:space="preserve">  -NA-  </v>
      </c>
      <c r="BE8" s="62" t="str">
        <f>UPPER(IF(OR(G8="TCPL",G8="PRACTICAL - UG",G8="PRACTICAL - PG"),'Paste here'!AP8,"  -NA-  "))</f>
        <v xml:space="preserve">  -NA-  </v>
      </c>
      <c r="BF8" s="62" t="str">
        <f>IF(OR(G8="TCPL",G8="PRACTICAL - UG",G8="PRACTICAL - PG"),Skilled!L8,"")</f>
        <v/>
      </c>
      <c r="BG8" s="63"/>
      <c r="BH8" s="62" t="str">
        <f>IF(OR(AG8="ENGLISH",AG8="MBA"),"",IF(OR(G8="PRACTICAL - UG",G8="PRACTICAL - PG"),'Paste here'!AQ8,""))</f>
        <v/>
      </c>
      <c r="BI8" s="62" t="str">
        <f>UPPER(IF(OR(G8="PRACTICAL - UG",G8="PRACTICAL - PG"),'Paste here'!AR8,"  -NA-  "))</f>
        <v xml:space="preserve">  -NA-  </v>
      </c>
      <c r="BJ8" s="62" t="str">
        <f>IF(OR(G8="PRACTICAL - UG",G8="PRACTICAL - PG"),'Paste here'!AT8,"  -NA-  ")</f>
        <v xml:space="preserve">  -NA-  </v>
      </c>
      <c r="BK8" s="62" t="str">
        <f t="shared" si="1"/>
        <v xml:space="preserve">  -NA-  </v>
      </c>
      <c r="BL8" s="62" t="str">
        <f>IF(OR(G8="PRACTICAL - UG",G8="PRACTICAL - PG"),'Paste here'!AS8,"  -NA-  ")</f>
        <v xml:space="preserve">  -NA-  </v>
      </c>
      <c r="BM8" s="62" t="str">
        <f>IF(OR(G8="PRACTICAL - UG",G8="PRACTICAL - PG"),'Paste here'!M8,"  -NA-  ")</f>
        <v xml:space="preserve">  -NA-  </v>
      </c>
      <c r="BN8" s="62" t="str">
        <f>IF(OR(G8="PRACTICAL - UG",G8="PRACTICAL - PG"),'Paste here'!N8,"  -NA-  ")</f>
        <v xml:space="preserve">  -NA-  </v>
      </c>
      <c r="BO8" s="62" t="str">
        <f>IF(OR(AG8="ENGLISH",AG8="MBA"),"",IF(OR(G8="PRACTICAL - UG",G8="PRACTICAL - PG"),Technician!J8,"  -NA-  "))</f>
        <v xml:space="preserve">  -NA-  </v>
      </c>
      <c r="BP8" s="62" t="str">
        <f>IF(OR(G8="PRACTICAL - UG",G8="PRACTICAL - PG"),'Paste here'!AU8,"  -NA-  ")</f>
        <v xml:space="preserve">  -NA-  </v>
      </c>
      <c r="BQ8" s="62" t="str">
        <f>UPPER(IF(OR(,G8="PRACTICAL - UG",G8="PRACTICAL - PG"),'Paste here'!AV8,"  -NA-  "))</f>
        <v xml:space="preserve">  -NA-  </v>
      </c>
      <c r="BR8" s="62" t="str">
        <f>UPPER(IF(OR(G8="PRACTICAL - UG",G8="PRACTICAL - PG"),'Paste here'!AW8,"  -NA-  "))</f>
        <v xml:space="preserve">  -NA-  </v>
      </c>
      <c r="BS8" s="62" t="str">
        <f>UPPER(IF(OR(G8="PRACTICAL - UG",G8="PRACTICAL - PG"),'Paste here'!AX8,"  -NA-  "))</f>
        <v xml:space="preserve">  -NA-  </v>
      </c>
      <c r="BT8" s="39" t="str">
        <f>IF(OR(AG8="ENGLISH",AG8="MBA"),"",IF(OR(G8="PRACTICAL - UG",G8="PRACTICAL - PG"),Technician!L8,""))</f>
        <v/>
      </c>
    </row>
    <row r="9" spans="1:72" s="13" customFormat="1" ht="19.899999999999999" customHeight="1" x14ac:dyDescent="0.25">
      <c r="A9" s="5">
        <f>'Paste here'!A9</f>
        <v>0</v>
      </c>
      <c r="B9" s="39">
        <f>'Paste here'!F9</f>
        <v>0</v>
      </c>
      <c r="C9" s="39">
        <f>'Paste here'!J9</f>
        <v>0</v>
      </c>
      <c r="D9" s="39">
        <f>'Paste here'!K9</f>
        <v>0</v>
      </c>
      <c r="E9" s="39" t="str">
        <f>UPPER('Paste here'!H9)</f>
        <v/>
      </c>
      <c r="F9" s="39">
        <f>'Paste here'!I9</f>
        <v>0</v>
      </c>
      <c r="G9" s="39">
        <f>'Paste here'!G9</f>
        <v>0</v>
      </c>
      <c r="H9" s="84">
        <f>'Paste here'!D9</f>
        <v>0</v>
      </c>
      <c r="I9" s="39">
        <f>'Paste here'!E9</f>
        <v>0</v>
      </c>
      <c r="J9" s="63"/>
      <c r="K9" s="39">
        <f>'Paste here'!O9</f>
        <v>0</v>
      </c>
      <c r="L9" s="67" t="str">
        <f>UPPER('Paste here'!P9)</f>
        <v/>
      </c>
      <c r="M9" s="39">
        <f>'Paste here'!S9</f>
        <v>0</v>
      </c>
      <c r="N9" s="39">
        <f>'Paste here'!R9</f>
        <v>0</v>
      </c>
      <c r="O9" s="39">
        <f>'Paste here'!T9</f>
        <v>0</v>
      </c>
      <c r="P9" s="5" t="e">
        <f>IF(VLOOKUP(O9,'Distance matrix'!B$2:C$238,2,FALSE)&lt;36,"&lt;35",VLOOKUP(O9,'Distance matrix'!B$2:C$238,2,FALSE))</f>
        <v>#N/A</v>
      </c>
      <c r="Q9" s="39">
        <f>'Paste here'!Q9</f>
        <v>0</v>
      </c>
      <c r="R9" s="39">
        <f>'Paste here'!M9</f>
        <v>0</v>
      </c>
      <c r="S9" s="39">
        <f>'Paste here'!N9</f>
        <v>0</v>
      </c>
      <c r="T9" s="65" t="e">
        <f>External!K9</f>
        <v>#N/A</v>
      </c>
      <c r="U9" s="62">
        <f>External!M9</f>
        <v>0</v>
      </c>
      <c r="V9" s="62">
        <f>External!L9</f>
        <v>0</v>
      </c>
      <c r="W9" s="62" t="e">
        <f>External!N9</f>
        <v>#N/A</v>
      </c>
      <c r="X9" s="39">
        <f>'Paste here'!U9</f>
        <v>0</v>
      </c>
      <c r="Y9" s="39" t="str">
        <f>UPPER('Paste here'!V9)</f>
        <v/>
      </c>
      <c r="Z9" s="39" t="str">
        <f>UPPER('Paste here'!W9)</f>
        <v/>
      </c>
      <c r="AA9" s="39" t="str">
        <f>UPPER('Paste here'!X9)</f>
        <v/>
      </c>
      <c r="AB9" s="39" t="e">
        <f>External!O9</f>
        <v>#VALUE!</v>
      </c>
      <c r="AC9" s="63"/>
      <c r="AD9" s="62">
        <f>'Paste here'!Y9</f>
        <v>0</v>
      </c>
      <c r="AE9" s="62" t="str">
        <f>UPPER('Paste here'!Z9)</f>
        <v/>
      </c>
      <c r="AF9" s="62">
        <f>'Paste here'!AC9</f>
        <v>0</v>
      </c>
      <c r="AG9" s="62">
        <f>'Paste here'!AB9</f>
        <v>0</v>
      </c>
      <c r="AH9" s="62" t="s">
        <v>47</v>
      </c>
      <c r="AI9" s="62">
        <f>'Paste here'!AA9</f>
        <v>0</v>
      </c>
      <c r="AJ9" s="62">
        <f>'Paste here'!M9</f>
        <v>0</v>
      </c>
      <c r="AK9" s="62">
        <f>'Paste here'!N9</f>
        <v>0</v>
      </c>
      <c r="AL9" s="62" t="e">
        <f>Internal!L9</f>
        <v>#N/A</v>
      </c>
      <c r="AM9" s="62">
        <f>'Paste here'!AD9</f>
        <v>0</v>
      </c>
      <c r="AN9" s="62" t="str">
        <f>UPPER('Paste here'!AE9)</f>
        <v/>
      </c>
      <c r="AO9" s="62" t="str">
        <f>UPPER('Paste here'!AF9)</f>
        <v/>
      </c>
      <c r="AP9" s="62" t="str">
        <f>UPPER('Paste here'!AG9)</f>
        <v/>
      </c>
      <c r="AQ9" s="62" t="e">
        <f>Internal!M9</f>
        <v>#VALUE!</v>
      </c>
      <c r="AR9" s="63"/>
      <c r="AS9" s="62" t="str">
        <f>IF(OR(G9="TCPL",G9="PRACTICAL - UG",G9="PRACTICAL - PG"),'Paste here'!AH9,"")</f>
        <v/>
      </c>
      <c r="AT9" s="62" t="str">
        <f>UPPER(IF(OR(G9="TCPL",G9="PRACTICAL - UG",G9="PRACTICAL - PG"),'Paste here'!AI9,"  -NA-  "))</f>
        <v xml:space="preserve">  -NA-  </v>
      </c>
      <c r="AU9" s="62" t="str">
        <f>IF(OR(G9="TCPL",G9="PRACTICAL - UG",G9="PRACTICAL - PG"),'Paste here'!AL9,"  -NA-  ")</f>
        <v xml:space="preserve">  -NA-  </v>
      </c>
      <c r="AV9" s="62" t="str">
        <f>IF(OR(G9="TCPL",G9="PRACTICAL - UG",G9="PRACTICAL - PG"),'Paste here'!AK9,"  -NA-  ")</f>
        <v xml:space="preserve">  -NA-  </v>
      </c>
      <c r="AW9" s="62" t="str">
        <f t="shared" si="0"/>
        <v xml:space="preserve">  -NA-  </v>
      </c>
      <c r="AX9" s="62" t="str">
        <f>IF(OR(G9="TCPL",G9="PRACTICAL - UG",G9="PRACTICAL - PG"),'Paste here'!AJ9,"  -NA-  ")</f>
        <v xml:space="preserve">  -NA-  </v>
      </c>
      <c r="AY9" s="62" t="str">
        <f>IF(OR(G9="TCPL",G9="PRACTICAL - UG",G9="PRACTICAL - PG"),'Paste here'!M9,"  -NA-  ")</f>
        <v xml:space="preserve">  -NA-  </v>
      </c>
      <c r="AZ9" s="62" t="str">
        <f>IF(OR(G9="TCPL",G9="PRACTICAL - UG",G9="PRACTICAL - PG"),'Paste here'!N9,"  -NA-  ")</f>
        <v xml:space="preserve">  -NA-  </v>
      </c>
      <c r="BA9" s="62" t="str">
        <f>IF(OR(G9="TCPL",G9="PRACTICAL - UG",G9="PRACTICAL - PG"),Skilled!K9,"  -NA-  ")</f>
        <v xml:space="preserve">  -NA-  </v>
      </c>
      <c r="BB9" s="62" t="str">
        <f>IF(OR(G9="TCPL",G9="PRACTICAL - UG",G9="PRACTICAL - PG"),'Paste here'!AM9,"  -NA-  ")</f>
        <v xml:space="preserve">  -NA-  </v>
      </c>
      <c r="BC9" s="62" t="str">
        <f>UPPER(IF(OR(G9="TCPL",G9="PRACTICAL - UG",G9="PRACTICAL - PG"),'Paste here'!AN9,"  -NA-  "))</f>
        <v xml:space="preserve">  -NA-  </v>
      </c>
      <c r="BD9" s="62" t="str">
        <f>UPPER(IF(OR(G9="TCPL",G9="PRACTICAL - UG",G9="PRACTICAL - PG"),'Paste here'!AO9,"  -NA-  "))</f>
        <v xml:space="preserve">  -NA-  </v>
      </c>
      <c r="BE9" s="62" t="str">
        <f>UPPER(IF(OR(G9="TCPL",G9="PRACTICAL - UG",G9="PRACTICAL - PG"),'Paste here'!AP9,"  -NA-  "))</f>
        <v xml:space="preserve">  -NA-  </v>
      </c>
      <c r="BF9" s="62" t="str">
        <f>IF(OR(G9="TCPL",G9="PRACTICAL - UG",G9="PRACTICAL - PG"),Skilled!L9,"")</f>
        <v/>
      </c>
      <c r="BG9" s="63"/>
      <c r="BH9" s="62" t="str">
        <f>IF(OR(AG9="ENGLISH",AG9="MBA"),"",IF(OR(G9="PRACTICAL - UG",G9="PRACTICAL - PG"),'Paste here'!AQ9,""))</f>
        <v/>
      </c>
      <c r="BI9" s="62" t="str">
        <f>UPPER(IF(OR(G9="PRACTICAL - UG",G9="PRACTICAL - PG"),'Paste here'!AR9,"  -NA-  "))</f>
        <v xml:space="preserve">  -NA-  </v>
      </c>
      <c r="BJ9" s="62" t="str">
        <f>IF(OR(G9="PRACTICAL - UG",G9="PRACTICAL - PG"),'Paste here'!AT9,"  -NA-  ")</f>
        <v xml:space="preserve">  -NA-  </v>
      </c>
      <c r="BK9" s="62" t="str">
        <f t="shared" si="1"/>
        <v xml:space="preserve">  -NA-  </v>
      </c>
      <c r="BL9" s="62" t="str">
        <f>IF(OR(G9="PRACTICAL - UG",G9="PRACTICAL - PG"),'Paste here'!AS9,"  -NA-  ")</f>
        <v xml:space="preserve">  -NA-  </v>
      </c>
      <c r="BM9" s="62" t="str">
        <f>IF(OR(G9="PRACTICAL - UG",G9="PRACTICAL - PG"),'Paste here'!M9,"  -NA-  ")</f>
        <v xml:space="preserve">  -NA-  </v>
      </c>
      <c r="BN9" s="62" t="str">
        <f>IF(OR(G9="PRACTICAL - UG",G9="PRACTICAL - PG"),'Paste here'!N9,"  -NA-  ")</f>
        <v xml:space="preserve">  -NA-  </v>
      </c>
      <c r="BO9" s="62" t="str">
        <f>IF(OR(AG9="ENGLISH",AG9="MBA"),"",IF(OR(G9="PRACTICAL - UG",G9="PRACTICAL - PG"),Technician!J9,"  -NA-  "))</f>
        <v xml:space="preserve">  -NA-  </v>
      </c>
      <c r="BP9" s="62" t="str">
        <f>IF(OR(G9="PRACTICAL - UG",G9="PRACTICAL - PG"),'Paste here'!AU9,"  -NA-  ")</f>
        <v xml:space="preserve">  -NA-  </v>
      </c>
      <c r="BQ9" s="62" t="str">
        <f>UPPER(IF(OR(,G9="PRACTICAL - UG",G9="PRACTICAL - PG"),'Paste here'!AV9,"  -NA-  "))</f>
        <v xml:space="preserve">  -NA-  </v>
      </c>
      <c r="BR9" s="62" t="str">
        <f>UPPER(IF(OR(G9="PRACTICAL - UG",G9="PRACTICAL - PG"),'Paste here'!AW9,"  -NA-  "))</f>
        <v xml:space="preserve">  -NA-  </v>
      </c>
      <c r="BS9" s="62" t="str">
        <f>UPPER(IF(OR(G9="PRACTICAL - UG",G9="PRACTICAL - PG"),'Paste here'!AX9,"  -NA-  "))</f>
        <v xml:space="preserve">  -NA-  </v>
      </c>
      <c r="BT9" s="39" t="str">
        <f>IF(OR(AG9="ENGLISH",AG9="MBA"),"",IF(OR(G9="PRACTICAL - UG",G9="PRACTICAL - PG"),Technician!L9,""))</f>
        <v/>
      </c>
    </row>
    <row r="10" spans="1:72" s="13" customFormat="1" ht="19.899999999999999" customHeight="1" x14ac:dyDescent="0.25">
      <c r="A10" s="5">
        <f>'Paste here'!A10</f>
        <v>0</v>
      </c>
      <c r="B10" s="39">
        <f>'Paste here'!F10</f>
        <v>0</v>
      </c>
      <c r="C10" s="39">
        <f>'Paste here'!J10</f>
        <v>0</v>
      </c>
      <c r="D10" s="39">
        <f>'Paste here'!K10</f>
        <v>0</v>
      </c>
      <c r="E10" s="39" t="str">
        <f>UPPER('Paste here'!H10)</f>
        <v/>
      </c>
      <c r="F10" s="39">
        <f>'Paste here'!I10</f>
        <v>0</v>
      </c>
      <c r="G10" s="39">
        <f>'Paste here'!G10</f>
        <v>0</v>
      </c>
      <c r="H10" s="84">
        <f>'Paste here'!D10</f>
        <v>0</v>
      </c>
      <c r="I10" s="39">
        <f>'Paste here'!E10</f>
        <v>0</v>
      </c>
      <c r="J10" s="63"/>
      <c r="K10" s="39">
        <f>'Paste here'!O10</f>
        <v>0</v>
      </c>
      <c r="L10" s="67" t="str">
        <f>UPPER('Paste here'!P10)</f>
        <v/>
      </c>
      <c r="M10" s="39">
        <f>'Paste here'!S10</f>
        <v>0</v>
      </c>
      <c r="N10" s="39">
        <f>'Paste here'!R10</f>
        <v>0</v>
      </c>
      <c r="O10" s="39">
        <f>'Paste here'!T10</f>
        <v>0</v>
      </c>
      <c r="P10" s="5" t="e">
        <f>IF(VLOOKUP(O10,'Distance matrix'!B$2:C$238,2,FALSE)&lt;36,"&lt;35",VLOOKUP(O10,'Distance matrix'!B$2:C$238,2,FALSE))</f>
        <v>#N/A</v>
      </c>
      <c r="Q10" s="39">
        <f>'Paste here'!Q10</f>
        <v>0</v>
      </c>
      <c r="R10" s="39">
        <f>'Paste here'!M10</f>
        <v>0</v>
      </c>
      <c r="S10" s="39">
        <f>'Paste here'!N10</f>
        <v>0</v>
      </c>
      <c r="T10" s="65" t="e">
        <f>External!K10</f>
        <v>#N/A</v>
      </c>
      <c r="U10" s="62">
        <f>External!M10</f>
        <v>0</v>
      </c>
      <c r="V10" s="62">
        <f>External!L10</f>
        <v>0</v>
      </c>
      <c r="W10" s="62" t="e">
        <f>External!N10</f>
        <v>#N/A</v>
      </c>
      <c r="X10" s="39">
        <f>'Paste here'!U10</f>
        <v>0</v>
      </c>
      <c r="Y10" s="39" t="str">
        <f>UPPER('Paste here'!V10)</f>
        <v/>
      </c>
      <c r="Z10" s="39" t="str">
        <f>UPPER('Paste here'!W10)</f>
        <v/>
      </c>
      <c r="AA10" s="39" t="str">
        <f>UPPER('Paste here'!X10)</f>
        <v/>
      </c>
      <c r="AB10" s="39" t="e">
        <f>External!O10</f>
        <v>#VALUE!</v>
      </c>
      <c r="AC10" s="63"/>
      <c r="AD10" s="62">
        <f>'Paste here'!Y10</f>
        <v>0</v>
      </c>
      <c r="AE10" s="62" t="str">
        <f>UPPER('Paste here'!Z10)</f>
        <v/>
      </c>
      <c r="AF10" s="62">
        <f>'Paste here'!AC10</f>
        <v>0</v>
      </c>
      <c r="AG10" s="62">
        <f>'Paste here'!AB10</f>
        <v>0</v>
      </c>
      <c r="AH10" s="62" t="s">
        <v>47</v>
      </c>
      <c r="AI10" s="62">
        <f>'Paste here'!AA10</f>
        <v>0</v>
      </c>
      <c r="AJ10" s="62">
        <f>'Paste here'!M10</f>
        <v>0</v>
      </c>
      <c r="AK10" s="62">
        <f>'Paste here'!N10</f>
        <v>0</v>
      </c>
      <c r="AL10" s="62" t="e">
        <f>Internal!L10</f>
        <v>#N/A</v>
      </c>
      <c r="AM10" s="62">
        <f>'Paste here'!AD10</f>
        <v>0</v>
      </c>
      <c r="AN10" s="62" t="str">
        <f>UPPER('Paste here'!AE10)</f>
        <v/>
      </c>
      <c r="AO10" s="62" t="str">
        <f>UPPER('Paste here'!AF10)</f>
        <v/>
      </c>
      <c r="AP10" s="62" t="str">
        <f>UPPER('Paste here'!AG10)</f>
        <v/>
      </c>
      <c r="AQ10" s="62" t="e">
        <f>Internal!M10</f>
        <v>#VALUE!</v>
      </c>
      <c r="AR10" s="63"/>
      <c r="AS10" s="62" t="str">
        <f>IF(OR(G10="TCPL",G10="PRACTICAL - UG",G10="PRACTICAL - PG"),'Paste here'!AH10,"")</f>
        <v/>
      </c>
      <c r="AT10" s="62" t="str">
        <f>UPPER(IF(OR(G10="TCPL",G10="PRACTICAL - UG",G10="PRACTICAL - PG"),'Paste here'!AI10,"  -NA-  "))</f>
        <v xml:space="preserve">  -NA-  </v>
      </c>
      <c r="AU10" s="62" t="str">
        <f>IF(OR(G10="TCPL",G10="PRACTICAL - UG",G10="PRACTICAL - PG"),'Paste here'!AL10,"  -NA-  ")</f>
        <v xml:space="preserve">  -NA-  </v>
      </c>
      <c r="AV10" s="62" t="str">
        <f>IF(OR(G10="TCPL",G10="PRACTICAL - UG",G10="PRACTICAL - PG"),'Paste here'!AK10,"  -NA-  ")</f>
        <v xml:space="preserve">  -NA-  </v>
      </c>
      <c r="AW10" s="62" t="str">
        <f t="shared" si="0"/>
        <v xml:space="preserve">  -NA-  </v>
      </c>
      <c r="AX10" s="62" t="str">
        <f>IF(OR(G10="TCPL",G10="PRACTICAL - UG",G10="PRACTICAL - PG"),'Paste here'!AJ10,"  -NA-  ")</f>
        <v xml:space="preserve">  -NA-  </v>
      </c>
      <c r="AY10" s="62" t="str">
        <f>IF(OR(G10="TCPL",G10="PRACTICAL - UG",G10="PRACTICAL - PG"),'Paste here'!M10,"  -NA-  ")</f>
        <v xml:space="preserve">  -NA-  </v>
      </c>
      <c r="AZ10" s="62" t="str">
        <f>IF(OR(G10="TCPL",G10="PRACTICAL - UG",G10="PRACTICAL - PG"),'Paste here'!N10,"  -NA-  ")</f>
        <v xml:space="preserve">  -NA-  </v>
      </c>
      <c r="BA10" s="62" t="str">
        <f>IF(OR(G10="TCPL",G10="PRACTICAL - UG",G10="PRACTICAL - PG"),Skilled!K10,"  -NA-  ")</f>
        <v xml:space="preserve">  -NA-  </v>
      </c>
      <c r="BB10" s="62" t="str">
        <f>IF(OR(G10="TCPL",G10="PRACTICAL - UG",G10="PRACTICAL - PG"),'Paste here'!AM10,"  -NA-  ")</f>
        <v xml:space="preserve">  -NA-  </v>
      </c>
      <c r="BC10" s="62" t="str">
        <f>UPPER(IF(OR(G10="TCPL",G10="PRACTICAL - UG",G10="PRACTICAL - PG"),'Paste here'!AN10,"  -NA-  "))</f>
        <v xml:space="preserve">  -NA-  </v>
      </c>
      <c r="BD10" s="62" t="str">
        <f>UPPER(IF(OR(G10="TCPL",G10="PRACTICAL - UG",G10="PRACTICAL - PG"),'Paste here'!AO10,"  -NA-  "))</f>
        <v xml:space="preserve">  -NA-  </v>
      </c>
      <c r="BE10" s="62" t="str">
        <f>UPPER(IF(OR(G10="TCPL",G10="PRACTICAL - UG",G10="PRACTICAL - PG"),'Paste here'!AP10,"  -NA-  "))</f>
        <v xml:space="preserve">  -NA-  </v>
      </c>
      <c r="BF10" s="62" t="str">
        <f>IF(OR(G10="TCPL",G10="PRACTICAL - UG",G10="PRACTICAL - PG"),Skilled!L10,"")</f>
        <v/>
      </c>
      <c r="BG10" s="63"/>
      <c r="BH10" s="62" t="str">
        <f>IF(OR(AG10="ENGLISH",AG10="MBA"),"",IF(OR(G10="PRACTICAL - UG",G10="PRACTICAL - PG"),'Paste here'!AQ10,""))</f>
        <v/>
      </c>
      <c r="BI10" s="62" t="str">
        <f>UPPER(IF(OR(G10="PRACTICAL - UG",G10="PRACTICAL - PG"),'Paste here'!AR10,"  -NA-  "))</f>
        <v xml:space="preserve">  -NA-  </v>
      </c>
      <c r="BJ10" s="62" t="str">
        <f>IF(OR(G10="PRACTICAL - UG",G10="PRACTICAL - PG"),'Paste here'!AT10,"  -NA-  ")</f>
        <v xml:space="preserve">  -NA-  </v>
      </c>
      <c r="BK10" s="62" t="str">
        <f t="shared" si="1"/>
        <v xml:space="preserve">  -NA-  </v>
      </c>
      <c r="BL10" s="62" t="str">
        <f>IF(OR(G10="PRACTICAL - UG",G10="PRACTICAL - PG"),'Paste here'!AS10,"  -NA-  ")</f>
        <v xml:space="preserve">  -NA-  </v>
      </c>
      <c r="BM10" s="62" t="str">
        <f>IF(OR(G10="PRACTICAL - UG",G10="PRACTICAL - PG"),'Paste here'!M10,"  -NA-  ")</f>
        <v xml:space="preserve">  -NA-  </v>
      </c>
      <c r="BN10" s="62" t="str">
        <f>IF(OR(G10="PRACTICAL - UG",G10="PRACTICAL - PG"),'Paste here'!N10,"  -NA-  ")</f>
        <v xml:space="preserve">  -NA-  </v>
      </c>
      <c r="BO10" s="62" t="str">
        <f>IF(OR(AG10="ENGLISH",AG10="MBA"),"",IF(OR(G10="PRACTICAL - UG",G10="PRACTICAL - PG"),Technician!J10,"  -NA-  "))</f>
        <v xml:space="preserve">  -NA-  </v>
      </c>
      <c r="BP10" s="62" t="str">
        <f>IF(OR(G10="PRACTICAL - UG",G10="PRACTICAL - PG"),'Paste here'!AU10,"  -NA-  ")</f>
        <v xml:space="preserve">  -NA-  </v>
      </c>
      <c r="BQ10" s="62" t="str">
        <f>UPPER(IF(OR(,G10="PRACTICAL - UG",G10="PRACTICAL - PG"),'Paste here'!AV10,"  -NA-  "))</f>
        <v xml:space="preserve">  -NA-  </v>
      </c>
      <c r="BR10" s="62" t="str">
        <f>UPPER(IF(OR(G10="PRACTICAL - UG",G10="PRACTICAL - PG"),'Paste here'!AW10,"  -NA-  "))</f>
        <v xml:space="preserve">  -NA-  </v>
      </c>
      <c r="BS10" s="62" t="str">
        <f>UPPER(IF(OR(G10="PRACTICAL - UG",G10="PRACTICAL - PG"),'Paste here'!AX10,"  -NA-  "))</f>
        <v xml:space="preserve">  -NA-  </v>
      </c>
      <c r="BT10" s="39" t="str">
        <f>IF(OR(AG10="ENGLISH",AG10="MBA"),"",IF(OR(G10="PRACTICAL - UG",G10="PRACTICAL - PG"),Technician!L10,""))</f>
        <v/>
      </c>
    </row>
    <row r="11" spans="1:72" s="13" customFormat="1" ht="19.899999999999999" customHeight="1" x14ac:dyDescent="0.25">
      <c r="A11" s="5">
        <f>'Paste here'!A11</f>
        <v>0</v>
      </c>
      <c r="B11" s="39">
        <f>'Paste here'!F11</f>
        <v>0</v>
      </c>
      <c r="C11" s="39">
        <f>'Paste here'!J11</f>
        <v>0</v>
      </c>
      <c r="D11" s="39">
        <f>'Paste here'!K11</f>
        <v>0</v>
      </c>
      <c r="E11" s="39" t="str">
        <f>UPPER('Paste here'!H11)</f>
        <v/>
      </c>
      <c r="F11" s="39">
        <f>'Paste here'!I11</f>
        <v>0</v>
      </c>
      <c r="G11" s="39">
        <f>'Paste here'!G11</f>
        <v>0</v>
      </c>
      <c r="H11" s="84">
        <f>'Paste here'!D11</f>
        <v>0</v>
      </c>
      <c r="I11" s="39">
        <f>'Paste here'!E11</f>
        <v>0</v>
      </c>
      <c r="J11" s="63"/>
      <c r="K11" s="39">
        <f>'Paste here'!O11</f>
        <v>0</v>
      </c>
      <c r="L11" s="67" t="str">
        <f>UPPER('Paste here'!P11)</f>
        <v/>
      </c>
      <c r="M11" s="39">
        <f>'Paste here'!S11</f>
        <v>0</v>
      </c>
      <c r="N11" s="39">
        <f>'Paste here'!R11</f>
        <v>0</v>
      </c>
      <c r="O11" s="39">
        <f>'Paste here'!T11</f>
        <v>0</v>
      </c>
      <c r="P11" s="5" t="e">
        <f>IF(VLOOKUP(O11,'Distance matrix'!B$2:C$238,2,FALSE)&lt;36,"&lt;35",VLOOKUP(O11,'Distance matrix'!B$2:C$238,2,FALSE))</f>
        <v>#N/A</v>
      </c>
      <c r="Q11" s="39">
        <f>'Paste here'!Q11</f>
        <v>0</v>
      </c>
      <c r="R11" s="39">
        <f>'Paste here'!M11</f>
        <v>0</v>
      </c>
      <c r="S11" s="39">
        <f>'Paste here'!N11</f>
        <v>0</v>
      </c>
      <c r="T11" s="65" t="e">
        <f>External!K11</f>
        <v>#N/A</v>
      </c>
      <c r="U11" s="62">
        <f>External!M11</f>
        <v>0</v>
      </c>
      <c r="V11" s="62">
        <f>External!L11</f>
        <v>0</v>
      </c>
      <c r="W11" s="62" t="e">
        <f>External!N11</f>
        <v>#N/A</v>
      </c>
      <c r="X11" s="39">
        <f>'Paste here'!U11</f>
        <v>0</v>
      </c>
      <c r="Y11" s="39" t="str">
        <f>UPPER('Paste here'!V11)</f>
        <v/>
      </c>
      <c r="Z11" s="39" t="str">
        <f>UPPER('Paste here'!W11)</f>
        <v/>
      </c>
      <c r="AA11" s="39" t="str">
        <f>UPPER('Paste here'!X11)</f>
        <v/>
      </c>
      <c r="AB11" s="39" t="e">
        <f>External!O11</f>
        <v>#VALUE!</v>
      </c>
      <c r="AC11" s="63"/>
      <c r="AD11" s="62">
        <f>'Paste here'!Y11</f>
        <v>0</v>
      </c>
      <c r="AE11" s="62" t="str">
        <f>UPPER('Paste here'!Z11)</f>
        <v/>
      </c>
      <c r="AF11" s="62">
        <f>'Paste here'!AC11</f>
        <v>0</v>
      </c>
      <c r="AG11" s="62">
        <f>'Paste here'!AB11</f>
        <v>0</v>
      </c>
      <c r="AH11" s="62" t="s">
        <v>47</v>
      </c>
      <c r="AI11" s="62">
        <f>'Paste here'!AA11</f>
        <v>0</v>
      </c>
      <c r="AJ11" s="62">
        <f>'Paste here'!M11</f>
        <v>0</v>
      </c>
      <c r="AK11" s="62">
        <f>'Paste here'!N11</f>
        <v>0</v>
      </c>
      <c r="AL11" s="62" t="e">
        <f>Internal!L11</f>
        <v>#N/A</v>
      </c>
      <c r="AM11" s="62">
        <f>'Paste here'!AD11</f>
        <v>0</v>
      </c>
      <c r="AN11" s="62" t="str">
        <f>UPPER('Paste here'!AE11)</f>
        <v/>
      </c>
      <c r="AO11" s="62" t="str">
        <f>UPPER('Paste here'!AF11)</f>
        <v/>
      </c>
      <c r="AP11" s="62" t="str">
        <f>UPPER('Paste here'!AG11)</f>
        <v/>
      </c>
      <c r="AQ11" s="62" t="e">
        <f>Internal!M11</f>
        <v>#VALUE!</v>
      </c>
      <c r="AR11" s="63"/>
      <c r="AS11" s="62" t="str">
        <f>IF(OR(G11="TCPL",G11="PRACTICAL - UG",G11="PRACTICAL - PG"),'Paste here'!AH11,"")</f>
        <v/>
      </c>
      <c r="AT11" s="62" t="str">
        <f>UPPER(IF(OR(G11="TCPL",G11="PRACTICAL - UG",G11="PRACTICAL - PG"),'Paste here'!AI11,"  -NA-  "))</f>
        <v xml:space="preserve">  -NA-  </v>
      </c>
      <c r="AU11" s="62" t="str">
        <f>IF(OR(G11="TCPL",G11="PRACTICAL - UG",G11="PRACTICAL - PG"),'Paste here'!AL11,"  -NA-  ")</f>
        <v xml:space="preserve">  -NA-  </v>
      </c>
      <c r="AV11" s="62" t="str">
        <f>IF(OR(G11="TCPL",G11="PRACTICAL - UG",G11="PRACTICAL - PG"),'Paste here'!AK11,"  -NA-  ")</f>
        <v xml:space="preserve">  -NA-  </v>
      </c>
      <c r="AW11" s="62" t="str">
        <f t="shared" si="0"/>
        <v xml:space="preserve">  -NA-  </v>
      </c>
      <c r="AX11" s="62" t="str">
        <f>IF(OR(G11="TCPL",G11="PRACTICAL - UG",G11="PRACTICAL - PG"),'Paste here'!AJ11,"  -NA-  ")</f>
        <v xml:space="preserve">  -NA-  </v>
      </c>
      <c r="AY11" s="62" t="str">
        <f>IF(OR(G11="TCPL",G11="PRACTICAL - UG",G11="PRACTICAL - PG"),'Paste here'!M11,"  -NA-  ")</f>
        <v xml:space="preserve">  -NA-  </v>
      </c>
      <c r="AZ11" s="62" t="str">
        <f>IF(OR(G11="TCPL",G11="PRACTICAL - UG",G11="PRACTICAL - PG"),'Paste here'!N11,"  -NA-  ")</f>
        <v xml:space="preserve">  -NA-  </v>
      </c>
      <c r="BA11" s="62" t="str">
        <f>IF(OR(G11="TCPL",G11="PRACTICAL - UG",G11="PRACTICAL - PG"),Skilled!K11,"  -NA-  ")</f>
        <v xml:space="preserve">  -NA-  </v>
      </c>
      <c r="BB11" s="62" t="str">
        <f>IF(OR(G11="TCPL",G11="PRACTICAL - UG",G11="PRACTICAL - PG"),'Paste here'!AM11,"  -NA-  ")</f>
        <v xml:space="preserve">  -NA-  </v>
      </c>
      <c r="BC11" s="62" t="str">
        <f>UPPER(IF(OR(G11="TCPL",G11="PRACTICAL - UG",G11="PRACTICAL - PG"),'Paste here'!AN11,"  -NA-  "))</f>
        <v xml:space="preserve">  -NA-  </v>
      </c>
      <c r="BD11" s="62" t="str">
        <f>UPPER(IF(OR(G11="TCPL",G11="PRACTICAL - UG",G11="PRACTICAL - PG"),'Paste here'!AO11,"  -NA-  "))</f>
        <v xml:space="preserve">  -NA-  </v>
      </c>
      <c r="BE11" s="62" t="str">
        <f>UPPER(IF(OR(G11="TCPL",G11="PRACTICAL - UG",G11="PRACTICAL - PG"),'Paste here'!AP11,"  -NA-  "))</f>
        <v xml:space="preserve">  -NA-  </v>
      </c>
      <c r="BF11" s="62" t="str">
        <f>IF(OR(G11="TCPL",G11="PRACTICAL - UG",G11="PRACTICAL - PG"),Skilled!L11,"")</f>
        <v/>
      </c>
      <c r="BG11" s="63"/>
      <c r="BH11" s="62" t="str">
        <f>IF(OR(AG11="ENGLISH",AG11="MBA"),"",IF(OR(G11="PRACTICAL - UG",G11="PRACTICAL - PG"),'Paste here'!AQ11,""))</f>
        <v/>
      </c>
      <c r="BI11" s="62" t="str">
        <f>UPPER(IF(OR(G11="PRACTICAL - UG",G11="PRACTICAL - PG"),'Paste here'!AR11,"  -NA-  "))</f>
        <v xml:space="preserve">  -NA-  </v>
      </c>
      <c r="BJ11" s="62" t="str">
        <f>IF(OR(G11="PRACTICAL - UG",G11="PRACTICAL - PG"),'Paste here'!AT11,"  -NA-  ")</f>
        <v xml:space="preserve">  -NA-  </v>
      </c>
      <c r="BK11" s="62" t="str">
        <f t="shared" si="1"/>
        <v xml:space="preserve">  -NA-  </v>
      </c>
      <c r="BL11" s="62" t="str">
        <f>IF(OR(G11="PRACTICAL - UG",G11="PRACTICAL - PG"),'Paste here'!AS11,"  -NA-  ")</f>
        <v xml:space="preserve">  -NA-  </v>
      </c>
      <c r="BM11" s="62" t="str">
        <f>IF(OR(G11="PRACTICAL - UG",G11="PRACTICAL - PG"),'Paste here'!M11,"  -NA-  ")</f>
        <v xml:space="preserve">  -NA-  </v>
      </c>
      <c r="BN11" s="62" t="str">
        <f>IF(OR(G11="PRACTICAL - UG",G11="PRACTICAL - PG"),'Paste here'!N11,"  -NA-  ")</f>
        <v xml:space="preserve">  -NA-  </v>
      </c>
      <c r="BO11" s="62" t="str">
        <f>IF(OR(AG11="ENGLISH",AG11="MBA"),"",IF(OR(G11="PRACTICAL - UG",G11="PRACTICAL - PG"),Technician!J11,"  -NA-  "))</f>
        <v xml:space="preserve">  -NA-  </v>
      </c>
      <c r="BP11" s="62" t="str">
        <f>IF(OR(G11="PRACTICAL - UG",G11="PRACTICAL - PG"),'Paste here'!AU11,"  -NA-  ")</f>
        <v xml:space="preserve">  -NA-  </v>
      </c>
      <c r="BQ11" s="62" t="str">
        <f>UPPER(IF(OR(,G11="PRACTICAL - UG",G11="PRACTICAL - PG"),'Paste here'!AV11,"  -NA-  "))</f>
        <v xml:space="preserve">  -NA-  </v>
      </c>
      <c r="BR11" s="62" t="str">
        <f>UPPER(IF(OR(G11="PRACTICAL - UG",G11="PRACTICAL - PG"),'Paste here'!AW11,"  -NA-  "))</f>
        <v xml:space="preserve">  -NA-  </v>
      </c>
      <c r="BS11" s="62" t="str">
        <f>UPPER(IF(OR(G11="PRACTICAL - UG",G11="PRACTICAL - PG"),'Paste here'!AX11,"  -NA-  "))</f>
        <v xml:space="preserve">  -NA-  </v>
      </c>
      <c r="BT11" s="39" t="str">
        <f>IF(OR(AG11="ENGLISH",AG11="MBA"),"",IF(OR(G11="PRACTICAL - UG",G11="PRACTICAL - PG"),Technician!L11,""))</f>
        <v/>
      </c>
    </row>
    <row r="12" spans="1:72" s="13" customFormat="1" ht="19.899999999999999" customHeight="1" x14ac:dyDescent="0.25">
      <c r="A12" s="5">
        <f>'Paste here'!A12</f>
        <v>0</v>
      </c>
      <c r="B12" s="39">
        <f>'Paste here'!F12</f>
        <v>0</v>
      </c>
      <c r="C12" s="39">
        <f>'Paste here'!J12</f>
        <v>0</v>
      </c>
      <c r="D12" s="39">
        <f>'Paste here'!K12</f>
        <v>0</v>
      </c>
      <c r="E12" s="39" t="str">
        <f>UPPER('Paste here'!H12)</f>
        <v/>
      </c>
      <c r="F12" s="39">
        <f>'Paste here'!I12</f>
        <v>0</v>
      </c>
      <c r="G12" s="39">
        <f>'Paste here'!G12</f>
        <v>0</v>
      </c>
      <c r="H12" s="84">
        <f>'Paste here'!D12</f>
        <v>0</v>
      </c>
      <c r="I12" s="39">
        <f>'Paste here'!E12</f>
        <v>0</v>
      </c>
      <c r="J12" s="63"/>
      <c r="K12" s="39">
        <f>'Paste here'!O12</f>
        <v>0</v>
      </c>
      <c r="L12" s="67" t="str">
        <f>UPPER('Paste here'!P12)</f>
        <v/>
      </c>
      <c r="M12" s="39">
        <f>'Paste here'!S12</f>
        <v>0</v>
      </c>
      <c r="N12" s="39">
        <f>'Paste here'!R12</f>
        <v>0</v>
      </c>
      <c r="O12" s="39">
        <f>'Paste here'!T12</f>
        <v>0</v>
      </c>
      <c r="P12" s="5" t="e">
        <f>IF(VLOOKUP(O12,'Distance matrix'!B$2:C$238,2,FALSE)&lt;36,"&lt;35",VLOOKUP(O12,'Distance matrix'!B$2:C$238,2,FALSE))</f>
        <v>#N/A</v>
      </c>
      <c r="Q12" s="39">
        <f>'Paste here'!Q12</f>
        <v>0</v>
      </c>
      <c r="R12" s="39">
        <f>'Paste here'!M12</f>
        <v>0</v>
      </c>
      <c r="S12" s="39">
        <f>'Paste here'!N12</f>
        <v>0</v>
      </c>
      <c r="T12" s="65" t="e">
        <f>External!K12</f>
        <v>#N/A</v>
      </c>
      <c r="U12" s="62">
        <f>External!M12</f>
        <v>0</v>
      </c>
      <c r="V12" s="62">
        <f>External!L12</f>
        <v>0</v>
      </c>
      <c r="W12" s="62" t="e">
        <f>External!N12</f>
        <v>#N/A</v>
      </c>
      <c r="X12" s="39">
        <f>'Paste here'!U12</f>
        <v>0</v>
      </c>
      <c r="Y12" s="39" t="str">
        <f>UPPER('Paste here'!V12)</f>
        <v/>
      </c>
      <c r="Z12" s="39" t="str">
        <f>UPPER('Paste here'!W12)</f>
        <v/>
      </c>
      <c r="AA12" s="39" t="str">
        <f>UPPER('Paste here'!X12)</f>
        <v/>
      </c>
      <c r="AB12" s="39" t="e">
        <f>External!O12</f>
        <v>#VALUE!</v>
      </c>
      <c r="AC12" s="63"/>
      <c r="AD12" s="62">
        <f>'Paste here'!Y12</f>
        <v>0</v>
      </c>
      <c r="AE12" s="62" t="str">
        <f>UPPER('Paste here'!Z12)</f>
        <v/>
      </c>
      <c r="AF12" s="62">
        <f>'Paste here'!AC12</f>
        <v>0</v>
      </c>
      <c r="AG12" s="62">
        <f>'Paste here'!AB12</f>
        <v>0</v>
      </c>
      <c r="AH12" s="62" t="s">
        <v>47</v>
      </c>
      <c r="AI12" s="62">
        <f>'Paste here'!AA12</f>
        <v>0</v>
      </c>
      <c r="AJ12" s="62">
        <f>'Paste here'!M12</f>
        <v>0</v>
      </c>
      <c r="AK12" s="62">
        <f>'Paste here'!N12</f>
        <v>0</v>
      </c>
      <c r="AL12" s="62" t="e">
        <f>Internal!L12</f>
        <v>#N/A</v>
      </c>
      <c r="AM12" s="62">
        <f>'Paste here'!AD12</f>
        <v>0</v>
      </c>
      <c r="AN12" s="62" t="str">
        <f>UPPER('Paste here'!AE12)</f>
        <v/>
      </c>
      <c r="AO12" s="62" t="str">
        <f>UPPER('Paste here'!AF12)</f>
        <v/>
      </c>
      <c r="AP12" s="62" t="str">
        <f>UPPER('Paste here'!AG12)</f>
        <v/>
      </c>
      <c r="AQ12" s="62" t="e">
        <f>Internal!M12</f>
        <v>#VALUE!</v>
      </c>
      <c r="AR12" s="63"/>
      <c r="AS12" s="62" t="str">
        <f>IF(OR(G12="TCPL",G12="PRACTICAL - UG",G12="PRACTICAL - PG"),'Paste here'!AH12,"")</f>
        <v/>
      </c>
      <c r="AT12" s="62" t="str">
        <f>UPPER(IF(OR(G12="TCPL",G12="PRACTICAL - UG",G12="PRACTICAL - PG"),'Paste here'!AI12,"  -NA-  "))</f>
        <v xml:space="preserve">  -NA-  </v>
      </c>
      <c r="AU12" s="62" t="str">
        <f>IF(OR(G12="TCPL",G12="PRACTICAL - UG",G12="PRACTICAL - PG"),'Paste here'!AL12,"  -NA-  ")</f>
        <v xml:space="preserve">  -NA-  </v>
      </c>
      <c r="AV12" s="62" t="str">
        <f>IF(OR(G12="TCPL",G12="PRACTICAL - UG",G12="PRACTICAL - PG"),'Paste here'!AK12,"  -NA-  ")</f>
        <v xml:space="preserve">  -NA-  </v>
      </c>
      <c r="AW12" s="62" t="str">
        <f t="shared" si="0"/>
        <v xml:space="preserve">  -NA-  </v>
      </c>
      <c r="AX12" s="62" t="str">
        <f>IF(OR(G12="TCPL",G12="PRACTICAL - UG",G12="PRACTICAL - PG"),'Paste here'!AJ12,"  -NA-  ")</f>
        <v xml:space="preserve">  -NA-  </v>
      </c>
      <c r="AY12" s="62" t="str">
        <f>IF(OR(G12="TCPL",G12="PRACTICAL - UG",G12="PRACTICAL - PG"),'Paste here'!M12,"  -NA-  ")</f>
        <v xml:space="preserve">  -NA-  </v>
      </c>
      <c r="AZ12" s="62" t="str">
        <f>IF(OR(G12="TCPL",G12="PRACTICAL - UG",G12="PRACTICAL - PG"),'Paste here'!N12,"  -NA-  ")</f>
        <v xml:space="preserve">  -NA-  </v>
      </c>
      <c r="BA12" s="62" t="str">
        <f>IF(OR(G12="TCPL",G12="PRACTICAL - UG",G12="PRACTICAL - PG"),Skilled!K12,"  -NA-  ")</f>
        <v xml:space="preserve">  -NA-  </v>
      </c>
      <c r="BB12" s="62" t="str">
        <f>IF(OR(G12="TCPL",G12="PRACTICAL - UG",G12="PRACTICAL - PG"),'Paste here'!AM12,"  -NA-  ")</f>
        <v xml:space="preserve">  -NA-  </v>
      </c>
      <c r="BC12" s="62" t="str">
        <f>UPPER(IF(OR(G12="TCPL",G12="PRACTICAL - UG",G12="PRACTICAL - PG"),'Paste here'!AN12,"  -NA-  "))</f>
        <v xml:space="preserve">  -NA-  </v>
      </c>
      <c r="BD12" s="62" t="str">
        <f>UPPER(IF(OR(G12="TCPL",G12="PRACTICAL - UG",G12="PRACTICAL - PG"),'Paste here'!AO12,"  -NA-  "))</f>
        <v xml:space="preserve">  -NA-  </v>
      </c>
      <c r="BE12" s="62" t="str">
        <f>UPPER(IF(OR(G12="TCPL",G12="PRACTICAL - UG",G12="PRACTICAL - PG"),'Paste here'!AP12,"  -NA-  "))</f>
        <v xml:space="preserve">  -NA-  </v>
      </c>
      <c r="BF12" s="62" t="str">
        <f>IF(OR(G12="TCPL",G12="PRACTICAL - UG",G12="PRACTICAL - PG"),Skilled!L12,"")</f>
        <v/>
      </c>
      <c r="BG12" s="63"/>
      <c r="BH12" s="62" t="str">
        <f>IF(OR(AG12="ENGLISH",AG12="MBA"),"",IF(OR(G12="PRACTICAL - UG",G12="PRACTICAL - PG"),'Paste here'!AQ12,""))</f>
        <v/>
      </c>
      <c r="BI12" s="62" t="str">
        <f>UPPER(IF(OR(G12="PRACTICAL - UG",G12="PRACTICAL - PG"),'Paste here'!AR12,"  -NA-  "))</f>
        <v xml:space="preserve">  -NA-  </v>
      </c>
      <c r="BJ12" s="62" t="str">
        <f>IF(OR(G12="PRACTICAL - UG",G12="PRACTICAL - PG"),'Paste here'!AT12,"  -NA-  ")</f>
        <v xml:space="preserve">  -NA-  </v>
      </c>
      <c r="BK12" s="62" t="str">
        <f t="shared" si="1"/>
        <v xml:space="preserve">  -NA-  </v>
      </c>
      <c r="BL12" s="62" t="str">
        <f>IF(OR(G12="PRACTICAL - UG",G12="PRACTICAL - PG"),'Paste here'!AS12,"  -NA-  ")</f>
        <v xml:space="preserve">  -NA-  </v>
      </c>
      <c r="BM12" s="62" t="str">
        <f>IF(OR(G12="PRACTICAL - UG",G12="PRACTICAL - PG"),'Paste here'!M12,"  -NA-  ")</f>
        <v xml:space="preserve">  -NA-  </v>
      </c>
      <c r="BN12" s="62" t="str">
        <f>IF(OR(G12="PRACTICAL - UG",G12="PRACTICAL - PG"),'Paste here'!N12,"  -NA-  ")</f>
        <v xml:space="preserve">  -NA-  </v>
      </c>
      <c r="BO12" s="62" t="str">
        <f>IF(OR(AG12="ENGLISH",AG12="MBA"),"",IF(OR(G12="PRACTICAL - UG",G12="PRACTICAL - PG"),Technician!J12,"  -NA-  "))</f>
        <v xml:space="preserve">  -NA-  </v>
      </c>
      <c r="BP12" s="62" t="str">
        <f>IF(OR(G12="PRACTICAL - UG",G12="PRACTICAL - PG"),'Paste here'!AU12,"  -NA-  ")</f>
        <v xml:space="preserve">  -NA-  </v>
      </c>
      <c r="BQ12" s="62" t="str">
        <f>UPPER(IF(OR(,G12="PRACTICAL - UG",G12="PRACTICAL - PG"),'Paste here'!AV12,"  -NA-  "))</f>
        <v xml:space="preserve">  -NA-  </v>
      </c>
      <c r="BR12" s="62" t="str">
        <f>UPPER(IF(OR(G12="PRACTICAL - UG",G12="PRACTICAL - PG"),'Paste here'!AW12,"  -NA-  "))</f>
        <v xml:space="preserve">  -NA-  </v>
      </c>
      <c r="BS12" s="62" t="str">
        <f>UPPER(IF(OR(G12="PRACTICAL - UG",G12="PRACTICAL - PG"),'Paste here'!AX12,"  -NA-  "))</f>
        <v xml:space="preserve">  -NA-  </v>
      </c>
      <c r="BT12" s="39" t="str">
        <f>IF(OR(AG12="ENGLISH",AG12="MBA"),"",IF(OR(G12="PRACTICAL - UG",G12="PRACTICAL - PG"),Technician!L12,""))</f>
        <v/>
      </c>
    </row>
    <row r="13" spans="1:72" s="13" customFormat="1" ht="19.899999999999999" customHeight="1" x14ac:dyDescent="0.25">
      <c r="A13" s="5">
        <f>'Paste here'!A13</f>
        <v>0</v>
      </c>
      <c r="B13" s="39">
        <f>'Paste here'!F13</f>
        <v>0</v>
      </c>
      <c r="C13" s="39">
        <f>'Paste here'!J13</f>
        <v>0</v>
      </c>
      <c r="D13" s="39">
        <f>'Paste here'!K13</f>
        <v>0</v>
      </c>
      <c r="E13" s="39" t="str">
        <f>UPPER('Paste here'!H13)</f>
        <v/>
      </c>
      <c r="F13" s="39">
        <f>'Paste here'!I13</f>
        <v>0</v>
      </c>
      <c r="G13" s="39">
        <f>'Paste here'!G13</f>
        <v>0</v>
      </c>
      <c r="H13" s="84">
        <f>'Paste here'!D13</f>
        <v>0</v>
      </c>
      <c r="I13" s="39">
        <f>'Paste here'!E13</f>
        <v>0</v>
      </c>
      <c r="J13" s="63"/>
      <c r="K13" s="39">
        <f>'Paste here'!O13</f>
        <v>0</v>
      </c>
      <c r="L13" s="67" t="str">
        <f>UPPER('Paste here'!P13)</f>
        <v/>
      </c>
      <c r="M13" s="39">
        <f>'Paste here'!S13</f>
        <v>0</v>
      </c>
      <c r="N13" s="39">
        <f>'Paste here'!R13</f>
        <v>0</v>
      </c>
      <c r="O13" s="39">
        <f>'Paste here'!T13</f>
        <v>0</v>
      </c>
      <c r="P13" s="5" t="e">
        <f>IF(VLOOKUP(O13,'Distance matrix'!B$2:C$238,2,FALSE)&lt;36,"&lt;35",VLOOKUP(O13,'Distance matrix'!B$2:C$238,2,FALSE))</f>
        <v>#N/A</v>
      </c>
      <c r="Q13" s="39">
        <f>'Paste here'!Q13</f>
        <v>0</v>
      </c>
      <c r="R13" s="39">
        <f>'Paste here'!M13</f>
        <v>0</v>
      </c>
      <c r="S13" s="39">
        <f>'Paste here'!N13</f>
        <v>0</v>
      </c>
      <c r="T13" s="65" t="e">
        <f>External!K13</f>
        <v>#N/A</v>
      </c>
      <c r="U13" s="62">
        <f>External!M13</f>
        <v>0</v>
      </c>
      <c r="V13" s="62">
        <f>External!L13</f>
        <v>0</v>
      </c>
      <c r="W13" s="62" t="e">
        <f>External!N13</f>
        <v>#N/A</v>
      </c>
      <c r="X13" s="39">
        <f>'Paste here'!U13</f>
        <v>0</v>
      </c>
      <c r="Y13" s="39" t="str">
        <f>UPPER('Paste here'!V13)</f>
        <v/>
      </c>
      <c r="Z13" s="39" t="str">
        <f>UPPER('Paste here'!W13)</f>
        <v/>
      </c>
      <c r="AA13" s="39" t="str">
        <f>UPPER('Paste here'!X13)</f>
        <v/>
      </c>
      <c r="AB13" s="39" t="e">
        <f>External!O13</f>
        <v>#VALUE!</v>
      </c>
      <c r="AC13" s="63"/>
      <c r="AD13" s="62">
        <f>'Paste here'!Y13</f>
        <v>0</v>
      </c>
      <c r="AE13" s="62" t="str">
        <f>UPPER('Paste here'!Z13)</f>
        <v/>
      </c>
      <c r="AF13" s="62">
        <f>'Paste here'!AC13</f>
        <v>0</v>
      </c>
      <c r="AG13" s="62">
        <f>'Paste here'!AB13</f>
        <v>0</v>
      </c>
      <c r="AH13" s="62" t="s">
        <v>47</v>
      </c>
      <c r="AI13" s="62">
        <f>'Paste here'!AA13</f>
        <v>0</v>
      </c>
      <c r="AJ13" s="62">
        <f>'Paste here'!M13</f>
        <v>0</v>
      </c>
      <c r="AK13" s="62">
        <f>'Paste here'!N13</f>
        <v>0</v>
      </c>
      <c r="AL13" s="62" t="e">
        <f>Internal!L13</f>
        <v>#N/A</v>
      </c>
      <c r="AM13" s="62">
        <f>'Paste here'!AD13</f>
        <v>0</v>
      </c>
      <c r="AN13" s="62" t="str">
        <f>UPPER('Paste here'!AE13)</f>
        <v/>
      </c>
      <c r="AO13" s="62" t="str">
        <f>UPPER('Paste here'!AF13)</f>
        <v/>
      </c>
      <c r="AP13" s="62" t="str">
        <f>UPPER('Paste here'!AG13)</f>
        <v/>
      </c>
      <c r="AQ13" s="62" t="e">
        <f>Internal!M13</f>
        <v>#VALUE!</v>
      </c>
      <c r="AR13" s="63"/>
      <c r="AS13" s="62" t="str">
        <f>IF(OR(G13="TCPL",G13="PRACTICAL - UG",G13="PRACTICAL - PG"),'Paste here'!AH13,"")</f>
        <v/>
      </c>
      <c r="AT13" s="62" t="str">
        <f>UPPER(IF(OR(G13="TCPL",G13="PRACTICAL - UG",G13="PRACTICAL - PG"),'Paste here'!AI13,"  -NA-  "))</f>
        <v xml:space="preserve">  -NA-  </v>
      </c>
      <c r="AU13" s="62" t="str">
        <f>IF(OR(G13="TCPL",G13="PRACTICAL - UG",G13="PRACTICAL - PG"),'Paste here'!AL13,"  -NA-  ")</f>
        <v xml:space="preserve">  -NA-  </v>
      </c>
      <c r="AV13" s="62" t="str">
        <f>IF(OR(G13="TCPL",G13="PRACTICAL - UG",G13="PRACTICAL - PG"),'Paste here'!AK13,"  -NA-  ")</f>
        <v xml:space="preserve">  -NA-  </v>
      </c>
      <c r="AW13" s="62" t="str">
        <f t="shared" si="0"/>
        <v xml:space="preserve">  -NA-  </v>
      </c>
      <c r="AX13" s="62" t="str">
        <f>IF(OR(G13="TCPL",G13="PRACTICAL - UG",G13="PRACTICAL - PG"),'Paste here'!AJ13,"  -NA-  ")</f>
        <v xml:space="preserve">  -NA-  </v>
      </c>
      <c r="AY13" s="62" t="str">
        <f>IF(OR(G13="TCPL",G13="PRACTICAL - UG",G13="PRACTICAL - PG"),'Paste here'!M13,"  -NA-  ")</f>
        <v xml:space="preserve">  -NA-  </v>
      </c>
      <c r="AZ13" s="62" t="str">
        <f>IF(OR(G13="TCPL",G13="PRACTICAL - UG",G13="PRACTICAL - PG"),'Paste here'!N13,"  -NA-  ")</f>
        <v xml:space="preserve">  -NA-  </v>
      </c>
      <c r="BA13" s="62" t="str">
        <f>IF(OR(G13="TCPL",G13="PRACTICAL - UG",G13="PRACTICAL - PG"),Skilled!K13,"  -NA-  ")</f>
        <v xml:space="preserve">  -NA-  </v>
      </c>
      <c r="BB13" s="62" t="str">
        <f>IF(OR(G13="TCPL",G13="PRACTICAL - UG",G13="PRACTICAL - PG"),'Paste here'!AM13,"  -NA-  ")</f>
        <v xml:space="preserve">  -NA-  </v>
      </c>
      <c r="BC13" s="62" t="str">
        <f>UPPER(IF(OR(G13="TCPL",G13="PRACTICAL - UG",G13="PRACTICAL - PG"),'Paste here'!AN13,"  -NA-  "))</f>
        <v xml:space="preserve">  -NA-  </v>
      </c>
      <c r="BD13" s="62" t="str">
        <f>UPPER(IF(OR(G13="TCPL",G13="PRACTICAL - UG",G13="PRACTICAL - PG"),'Paste here'!AO13,"  -NA-  "))</f>
        <v xml:space="preserve">  -NA-  </v>
      </c>
      <c r="BE13" s="62" t="str">
        <f>UPPER(IF(OR(G13="TCPL",G13="PRACTICAL - UG",G13="PRACTICAL - PG"),'Paste here'!AP13,"  -NA-  "))</f>
        <v xml:space="preserve">  -NA-  </v>
      </c>
      <c r="BF13" s="62" t="str">
        <f>IF(OR(G13="TCPL",G13="PRACTICAL - UG",G13="PRACTICAL - PG"),Skilled!L13,"")</f>
        <v/>
      </c>
      <c r="BG13" s="63"/>
      <c r="BH13" s="62" t="str">
        <f>IF(OR(AG13="ENGLISH",AG13="MBA"),"",IF(OR(G13="PRACTICAL - UG",G13="PRACTICAL - PG"),'Paste here'!AQ13,""))</f>
        <v/>
      </c>
      <c r="BI13" s="62" t="str">
        <f>UPPER(IF(OR(G13="PRACTICAL - UG",G13="PRACTICAL - PG"),'Paste here'!AR13,"  -NA-  "))</f>
        <v xml:space="preserve">  -NA-  </v>
      </c>
      <c r="BJ13" s="62" t="str">
        <f>IF(OR(G13="PRACTICAL - UG",G13="PRACTICAL - PG"),'Paste here'!AT13,"  -NA-  ")</f>
        <v xml:space="preserve">  -NA-  </v>
      </c>
      <c r="BK13" s="62" t="str">
        <f t="shared" si="1"/>
        <v xml:space="preserve">  -NA-  </v>
      </c>
      <c r="BL13" s="62" t="str">
        <f>IF(OR(G13="PRACTICAL - UG",G13="PRACTICAL - PG"),'Paste here'!AS13,"  -NA-  ")</f>
        <v xml:space="preserve">  -NA-  </v>
      </c>
      <c r="BM13" s="62" t="str">
        <f>IF(OR(G13="PRACTICAL - UG",G13="PRACTICAL - PG"),'Paste here'!M13,"  -NA-  ")</f>
        <v xml:space="preserve">  -NA-  </v>
      </c>
      <c r="BN13" s="62" t="str">
        <f>IF(OR(G13="PRACTICAL - UG",G13="PRACTICAL - PG"),'Paste here'!N13,"  -NA-  ")</f>
        <v xml:space="preserve">  -NA-  </v>
      </c>
      <c r="BO13" s="62" t="str">
        <f>IF(OR(AG13="ENGLISH",AG13="MBA"),"",IF(OR(G13="PRACTICAL - UG",G13="PRACTICAL - PG"),Technician!J13,"  -NA-  "))</f>
        <v xml:space="preserve">  -NA-  </v>
      </c>
      <c r="BP13" s="62" t="str">
        <f>IF(OR(G13="PRACTICAL - UG",G13="PRACTICAL - PG"),'Paste here'!AU13,"  -NA-  ")</f>
        <v xml:space="preserve">  -NA-  </v>
      </c>
      <c r="BQ13" s="62" t="str">
        <f>UPPER(IF(OR(,G13="PRACTICAL - UG",G13="PRACTICAL - PG"),'Paste here'!AV13,"  -NA-  "))</f>
        <v xml:space="preserve">  -NA-  </v>
      </c>
      <c r="BR13" s="62" t="str">
        <f>UPPER(IF(OR(G13="PRACTICAL - UG",G13="PRACTICAL - PG"),'Paste here'!AW13,"  -NA-  "))</f>
        <v xml:space="preserve">  -NA-  </v>
      </c>
      <c r="BS13" s="62" t="str">
        <f>UPPER(IF(OR(G13="PRACTICAL - UG",G13="PRACTICAL - PG"),'Paste here'!AX13,"  -NA-  "))</f>
        <v xml:space="preserve">  -NA-  </v>
      </c>
      <c r="BT13" s="39" t="str">
        <f>IF(OR(AG13="ENGLISH",AG13="MBA"),"",IF(OR(G13="PRACTICAL - UG",G13="PRACTICAL - PG"),Technician!L13,""))</f>
        <v/>
      </c>
    </row>
    <row r="14" spans="1:72" s="13" customFormat="1" ht="19.899999999999999" customHeight="1" x14ac:dyDescent="0.25">
      <c r="A14" s="5">
        <f>'Paste here'!A14</f>
        <v>0</v>
      </c>
      <c r="B14" s="39">
        <f>'Paste here'!F14</f>
        <v>0</v>
      </c>
      <c r="C14" s="39">
        <f>'Paste here'!J14</f>
        <v>0</v>
      </c>
      <c r="D14" s="39">
        <f>'Paste here'!K14</f>
        <v>0</v>
      </c>
      <c r="E14" s="39" t="str">
        <f>UPPER('Paste here'!H14)</f>
        <v/>
      </c>
      <c r="F14" s="39">
        <f>'Paste here'!I14</f>
        <v>0</v>
      </c>
      <c r="G14" s="39">
        <f>'Paste here'!G14</f>
        <v>0</v>
      </c>
      <c r="H14" s="84">
        <f>'Paste here'!D14</f>
        <v>0</v>
      </c>
      <c r="I14" s="39">
        <f>'Paste here'!E14</f>
        <v>0</v>
      </c>
      <c r="J14" s="63"/>
      <c r="K14" s="39">
        <f>'Paste here'!O14</f>
        <v>0</v>
      </c>
      <c r="L14" s="67" t="str">
        <f>UPPER('Paste here'!P14)</f>
        <v/>
      </c>
      <c r="M14" s="39">
        <f>'Paste here'!S14</f>
        <v>0</v>
      </c>
      <c r="N14" s="39">
        <f>'Paste here'!R14</f>
        <v>0</v>
      </c>
      <c r="O14" s="39">
        <f>'Paste here'!T14</f>
        <v>0</v>
      </c>
      <c r="P14" s="5" t="e">
        <f>IF(VLOOKUP(O14,'Distance matrix'!B$2:C$238,2,FALSE)&lt;36,"&lt;35",VLOOKUP(O14,'Distance matrix'!B$2:C$238,2,FALSE))</f>
        <v>#N/A</v>
      </c>
      <c r="Q14" s="39">
        <f>'Paste here'!Q14</f>
        <v>0</v>
      </c>
      <c r="R14" s="39">
        <f>'Paste here'!M14</f>
        <v>0</v>
      </c>
      <c r="S14" s="39">
        <f>'Paste here'!N14</f>
        <v>0</v>
      </c>
      <c r="T14" s="65" t="e">
        <f>External!K14</f>
        <v>#N/A</v>
      </c>
      <c r="U14" s="62">
        <f>External!M14</f>
        <v>0</v>
      </c>
      <c r="V14" s="62">
        <f>External!L14</f>
        <v>0</v>
      </c>
      <c r="W14" s="62" t="e">
        <f>External!N14</f>
        <v>#N/A</v>
      </c>
      <c r="X14" s="39">
        <f>'Paste here'!U14</f>
        <v>0</v>
      </c>
      <c r="Y14" s="39" t="str">
        <f>UPPER('Paste here'!V14)</f>
        <v/>
      </c>
      <c r="Z14" s="39" t="str">
        <f>UPPER('Paste here'!W14)</f>
        <v/>
      </c>
      <c r="AA14" s="39" t="str">
        <f>UPPER('Paste here'!X14)</f>
        <v/>
      </c>
      <c r="AB14" s="39" t="e">
        <f>External!O14</f>
        <v>#VALUE!</v>
      </c>
      <c r="AC14" s="63"/>
      <c r="AD14" s="62">
        <f>'Paste here'!Y14</f>
        <v>0</v>
      </c>
      <c r="AE14" s="62" t="str">
        <f>UPPER('Paste here'!Z14)</f>
        <v/>
      </c>
      <c r="AF14" s="62">
        <f>'Paste here'!AC14</f>
        <v>0</v>
      </c>
      <c r="AG14" s="62">
        <f>'Paste here'!AB14</f>
        <v>0</v>
      </c>
      <c r="AH14" s="62" t="s">
        <v>47</v>
      </c>
      <c r="AI14" s="62">
        <f>'Paste here'!AA14</f>
        <v>0</v>
      </c>
      <c r="AJ14" s="62">
        <f>'Paste here'!M14</f>
        <v>0</v>
      </c>
      <c r="AK14" s="62">
        <f>'Paste here'!N14</f>
        <v>0</v>
      </c>
      <c r="AL14" s="62" t="e">
        <f>Internal!L14</f>
        <v>#N/A</v>
      </c>
      <c r="AM14" s="62">
        <f>'Paste here'!AD14</f>
        <v>0</v>
      </c>
      <c r="AN14" s="62" t="str">
        <f>UPPER('Paste here'!AE14)</f>
        <v/>
      </c>
      <c r="AO14" s="62" t="str">
        <f>UPPER('Paste here'!AF14)</f>
        <v/>
      </c>
      <c r="AP14" s="62" t="str">
        <f>UPPER('Paste here'!AG14)</f>
        <v/>
      </c>
      <c r="AQ14" s="62" t="e">
        <f>Internal!M14</f>
        <v>#VALUE!</v>
      </c>
      <c r="AR14" s="63"/>
      <c r="AS14" s="62" t="str">
        <f>IF(OR(G14="TCPL",G14="PRACTICAL - UG",G14="PRACTICAL - PG"),'Paste here'!AH14,"")</f>
        <v/>
      </c>
      <c r="AT14" s="62" t="str">
        <f>UPPER(IF(OR(G14="TCPL",G14="PRACTICAL - UG",G14="PRACTICAL - PG"),'Paste here'!AI14,"  -NA-  "))</f>
        <v xml:space="preserve">  -NA-  </v>
      </c>
      <c r="AU14" s="62" t="str">
        <f>IF(OR(G14="TCPL",G14="PRACTICAL - UG",G14="PRACTICAL - PG"),'Paste here'!AL14,"  -NA-  ")</f>
        <v xml:space="preserve">  -NA-  </v>
      </c>
      <c r="AV14" s="62" t="str">
        <f>IF(OR(G14="TCPL",G14="PRACTICAL - UG",G14="PRACTICAL - PG"),'Paste here'!AK14,"  -NA-  ")</f>
        <v xml:space="preserve">  -NA-  </v>
      </c>
      <c r="AW14" s="62" t="str">
        <f t="shared" si="0"/>
        <v xml:space="preserve">  -NA-  </v>
      </c>
      <c r="AX14" s="62" t="str">
        <f>IF(OR(G14="TCPL",G14="PRACTICAL - UG",G14="PRACTICAL - PG"),'Paste here'!AJ14,"  -NA-  ")</f>
        <v xml:space="preserve">  -NA-  </v>
      </c>
      <c r="AY14" s="62" t="str">
        <f>IF(OR(G14="TCPL",G14="PRACTICAL - UG",G14="PRACTICAL - PG"),'Paste here'!M14,"  -NA-  ")</f>
        <v xml:space="preserve">  -NA-  </v>
      </c>
      <c r="AZ14" s="62" t="str">
        <f>IF(OR(G14="TCPL",G14="PRACTICAL - UG",G14="PRACTICAL - PG"),'Paste here'!N14,"  -NA-  ")</f>
        <v xml:space="preserve">  -NA-  </v>
      </c>
      <c r="BA14" s="62" t="str">
        <f>IF(OR(G14="TCPL",G14="PRACTICAL - UG",G14="PRACTICAL - PG"),Skilled!K14,"  -NA-  ")</f>
        <v xml:space="preserve">  -NA-  </v>
      </c>
      <c r="BB14" s="62" t="str">
        <f>IF(OR(G14="TCPL",G14="PRACTICAL - UG",G14="PRACTICAL - PG"),'Paste here'!AM14,"  -NA-  ")</f>
        <v xml:space="preserve">  -NA-  </v>
      </c>
      <c r="BC14" s="62" t="str">
        <f>UPPER(IF(OR(G14="TCPL",G14="PRACTICAL - UG",G14="PRACTICAL - PG"),'Paste here'!AN14,"  -NA-  "))</f>
        <v xml:space="preserve">  -NA-  </v>
      </c>
      <c r="BD14" s="62" t="str">
        <f>UPPER(IF(OR(G14="TCPL",G14="PRACTICAL - UG",G14="PRACTICAL - PG"),'Paste here'!AO14,"  -NA-  "))</f>
        <v xml:space="preserve">  -NA-  </v>
      </c>
      <c r="BE14" s="62" t="str">
        <f>UPPER(IF(OR(G14="TCPL",G14="PRACTICAL - UG",G14="PRACTICAL - PG"),'Paste here'!AP14,"  -NA-  "))</f>
        <v xml:space="preserve">  -NA-  </v>
      </c>
      <c r="BF14" s="62" t="str">
        <f>IF(OR(G14="TCPL",G14="PRACTICAL - UG",G14="PRACTICAL - PG"),Skilled!L14,"")</f>
        <v/>
      </c>
      <c r="BG14" s="63"/>
      <c r="BH14" s="62" t="str">
        <f>IF(OR(AG14="ENGLISH",AG14="MBA"),"",IF(OR(G14="PRACTICAL - UG",G14="PRACTICAL - PG"),'Paste here'!AQ14,""))</f>
        <v/>
      </c>
      <c r="BI14" s="62" t="str">
        <f>UPPER(IF(OR(G14="PRACTICAL - UG",G14="PRACTICAL - PG"),'Paste here'!AR14,"  -NA-  "))</f>
        <v xml:space="preserve">  -NA-  </v>
      </c>
      <c r="BJ14" s="62" t="str">
        <f>IF(OR(G14="PRACTICAL - UG",G14="PRACTICAL - PG"),'Paste here'!AT14,"  -NA-  ")</f>
        <v xml:space="preserve">  -NA-  </v>
      </c>
      <c r="BK14" s="62" t="str">
        <f t="shared" si="1"/>
        <v xml:space="preserve">  -NA-  </v>
      </c>
      <c r="BL14" s="62" t="str">
        <f>IF(OR(G14="PRACTICAL - UG",G14="PRACTICAL - PG"),'Paste here'!AS14,"  -NA-  ")</f>
        <v xml:space="preserve">  -NA-  </v>
      </c>
      <c r="BM14" s="62" t="str">
        <f>IF(OR(G14="PRACTICAL - UG",G14="PRACTICAL - PG"),'Paste here'!M14,"  -NA-  ")</f>
        <v xml:space="preserve">  -NA-  </v>
      </c>
      <c r="BN14" s="62" t="str">
        <f>IF(OR(G14="PRACTICAL - UG",G14="PRACTICAL - PG"),'Paste here'!N14,"  -NA-  ")</f>
        <v xml:space="preserve">  -NA-  </v>
      </c>
      <c r="BO14" s="62" t="str">
        <f>IF(OR(AG14="ENGLISH",AG14="MBA"),"",IF(OR(G14="PRACTICAL - UG",G14="PRACTICAL - PG"),Technician!J14,"  -NA-  "))</f>
        <v xml:space="preserve">  -NA-  </v>
      </c>
      <c r="BP14" s="62" t="str">
        <f>IF(OR(G14="PRACTICAL - UG",G14="PRACTICAL - PG"),'Paste here'!AU14,"  -NA-  ")</f>
        <v xml:space="preserve">  -NA-  </v>
      </c>
      <c r="BQ14" s="62" t="str">
        <f>UPPER(IF(OR(,G14="PRACTICAL - UG",G14="PRACTICAL - PG"),'Paste here'!AV14,"  -NA-  "))</f>
        <v xml:space="preserve">  -NA-  </v>
      </c>
      <c r="BR14" s="62" t="str">
        <f>UPPER(IF(OR(G14="PRACTICAL - UG",G14="PRACTICAL - PG"),'Paste here'!AW14,"  -NA-  "))</f>
        <v xml:space="preserve">  -NA-  </v>
      </c>
      <c r="BS14" s="62" t="str">
        <f>UPPER(IF(OR(G14="PRACTICAL - UG",G14="PRACTICAL - PG"),'Paste here'!AX14,"  -NA-  "))</f>
        <v xml:space="preserve">  -NA-  </v>
      </c>
      <c r="BT14" s="39" t="str">
        <f>IF(OR(AG14="ENGLISH",AG14="MBA"),"",IF(OR(G14="PRACTICAL - UG",G14="PRACTICAL - PG"),Technician!L14,""))</f>
        <v/>
      </c>
    </row>
    <row r="15" spans="1:72" s="13" customFormat="1" ht="19.899999999999999" customHeight="1" x14ac:dyDescent="0.25">
      <c r="A15" s="5">
        <f>'Paste here'!A15</f>
        <v>0</v>
      </c>
      <c r="B15" s="39">
        <f>'Paste here'!F15</f>
        <v>0</v>
      </c>
      <c r="C15" s="39">
        <f>'Paste here'!J15</f>
        <v>0</v>
      </c>
      <c r="D15" s="39">
        <f>'Paste here'!K15</f>
        <v>0</v>
      </c>
      <c r="E15" s="39" t="str">
        <f>UPPER('Paste here'!H15)</f>
        <v/>
      </c>
      <c r="F15" s="39">
        <f>'Paste here'!I15</f>
        <v>0</v>
      </c>
      <c r="G15" s="39">
        <f>'Paste here'!G15</f>
        <v>0</v>
      </c>
      <c r="H15" s="84">
        <f>'Paste here'!D15</f>
        <v>0</v>
      </c>
      <c r="I15" s="39">
        <f>'Paste here'!E15</f>
        <v>0</v>
      </c>
      <c r="J15" s="63"/>
      <c r="K15" s="39">
        <f>'Paste here'!O15</f>
        <v>0</v>
      </c>
      <c r="L15" s="67" t="str">
        <f>UPPER('Paste here'!P15)</f>
        <v/>
      </c>
      <c r="M15" s="39">
        <f>'Paste here'!S15</f>
        <v>0</v>
      </c>
      <c r="N15" s="39">
        <f>'Paste here'!R15</f>
        <v>0</v>
      </c>
      <c r="O15" s="39">
        <f>'Paste here'!T15</f>
        <v>0</v>
      </c>
      <c r="P15" s="5" t="e">
        <f>IF(VLOOKUP(O15,'Distance matrix'!B$2:C$238,2,FALSE)&lt;36,"&lt;35",VLOOKUP(O15,'Distance matrix'!B$2:C$238,2,FALSE))</f>
        <v>#N/A</v>
      </c>
      <c r="Q15" s="39">
        <f>'Paste here'!Q15</f>
        <v>0</v>
      </c>
      <c r="R15" s="39">
        <f>'Paste here'!M15</f>
        <v>0</v>
      </c>
      <c r="S15" s="39">
        <f>'Paste here'!N15</f>
        <v>0</v>
      </c>
      <c r="T15" s="65" t="e">
        <f>External!K15</f>
        <v>#N/A</v>
      </c>
      <c r="U15" s="62">
        <f>External!M15</f>
        <v>0</v>
      </c>
      <c r="V15" s="62">
        <f>External!L15</f>
        <v>0</v>
      </c>
      <c r="W15" s="62" t="e">
        <f>External!N15</f>
        <v>#N/A</v>
      </c>
      <c r="X15" s="39">
        <f>'Paste here'!U15</f>
        <v>0</v>
      </c>
      <c r="Y15" s="39" t="str">
        <f>UPPER('Paste here'!V15)</f>
        <v/>
      </c>
      <c r="Z15" s="39" t="str">
        <f>UPPER('Paste here'!W15)</f>
        <v/>
      </c>
      <c r="AA15" s="39" t="str">
        <f>UPPER('Paste here'!X15)</f>
        <v/>
      </c>
      <c r="AB15" s="39" t="e">
        <f>External!O15</f>
        <v>#VALUE!</v>
      </c>
      <c r="AC15" s="63"/>
      <c r="AD15" s="62">
        <f>'Paste here'!Y15</f>
        <v>0</v>
      </c>
      <c r="AE15" s="62" t="str">
        <f>UPPER('Paste here'!Z15)</f>
        <v/>
      </c>
      <c r="AF15" s="62">
        <f>'Paste here'!AC15</f>
        <v>0</v>
      </c>
      <c r="AG15" s="62">
        <f>'Paste here'!AB15</f>
        <v>0</v>
      </c>
      <c r="AH15" s="62" t="s">
        <v>47</v>
      </c>
      <c r="AI15" s="62">
        <f>'Paste here'!AA15</f>
        <v>0</v>
      </c>
      <c r="AJ15" s="62">
        <f>'Paste here'!M15</f>
        <v>0</v>
      </c>
      <c r="AK15" s="62">
        <f>'Paste here'!N15</f>
        <v>0</v>
      </c>
      <c r="AL15" s="62" t="e">
        <f>Internal!L15</f>
        <v>#N/A</v>
      </c>
      <c r="AM15" s="62">
        <f>'Paste here'!AD15</f>
        <v>0</v>
      </c>
      <c r="AN15" s="62" t="str">
        <f>UPPER('Paste here'!AE15)</f>
        <v/>
      </c>
      <c r="AO15" s="62" t="str">
        <f>UPPER('Paste here'!AF15)</f>
        <v/>
      </c>
      <c r="AP15" s="62" t="str">
        <f>UPPER('Paste here'!AG15)</f>
        <v/>
      </c>
      <c r="AQ15" s="62" t="e">
        <f>Internal!M15</f>
        <v>#VALUE!</v>
      </c>
      <c r="AR15" s="63"/>
      <c r="AS15" s="62" t="str">
        <f>IF(OR(G15="TCPL",G15="PRACTICAL - UG",G15="PRACTICAL - PG"),'Paste here'!AH15,"")</f>
        <v/>
      </c>
      <c r="AT15" s="62" t="str">
        <f>UPPER(IF(OR(G15="TCPL",G15="PRACTICAL - UG",G15="PRACTICAL - PG"),'Paste here'!AI15,"  -NA-  "))</f>
        <v xml:space="preserve">  -NA-  </v>
      </c>
      <c r="AU15" s="62" t="str">
        <f>IF(OR(G15="TCPL",G15="PRACTICAL - UG",G15="PRACTICAL - PG"),'Paste here'!AL15,"  -NA-  ")</f>
        <v xml:space="preserve">  -NA-  </v>
      </c>
      <c r="AV15" s="62" t="str">
        <f>IF(OR(G15="TCPL",G15="PRACTICAL - UG",G15="PRACTICAL - PG"),'Paste here'!AK15,"  -NA-  ")</f>
        <v xml:space="preserve">  -NA-  </v>
      </c>
      <c r="AW15" s="62" t="str">
        <f t="shared" si="0"/>
        <v xml:space="preserve">  -NA-  </v>
      </c>
      <c r="AX15" s="62" t="str">
        <f>IF(OR(G15="TCPL",G15="PRACTICAL - UG",G15="PRACTICAL - PG"),'Paste here'!AJ15,"  -NA-  ")</f>
        <v xml:space="preserve">  -NA-  </v>
      </c>
      <c r="AY15" s="62" t="str">
        <f>IF(OR(G15="TCPL",G15="PRACTICAL - UG",G15="PRACTICAL - PG"),'Paste here'!M15,"  -NA-  ")</f>
        <v xml:space="preserve">  -NA-  </v>
      </c>
      <c r="AZ15" s="62" t="str">
        <f>IF(OR(G15="TCPL",G15="PRACTICAL - UG",G15="PRACTICAL - PG"),'Paste here'!N15,"  -NA-  ")</f>
        <v xml:space="preserve">  -NA-  </v>
      </c>
      <c r="BA15" s="62" t="str">
        <f>IF(OR(G15="TCPL",G15="PRACTICAL - UG",G15="PRACTICAL - PG"),Skilled!K15,"  -NA-  ")</f>
        <v xml:space="preserve">  -NA-  </v>
      </c>
      <c r="BB15" s="62" t="str">
        <f>IF(OR(G15="TCPL",G15="PRACTICAL - UG",G15="PRACTICAL - PG"),'Paste here'!AM15,"  -NA-  ")</f>
        <v xml:space="preserve">  -NA-  </v>
      </c>
      <c r="BC15" s="62" t="str">
        <f>UPPER(IF(OR(G15="TCPL",G15="PRACTICAL - UG",G15="PRACTICAL - PG"),'Paste here'!AN15,"  -NA-  "))</f>
        <v xml:space="preserve">  -NA-  </v>
      </c>
      <c r="BD15" s="62" t="str">
        <f>UPPER(IF(OR(G15="TCPL",G15="PRACTICAL - UG",G15="PRACTICAL - PG"),'Paste here'!AO15,"  -NA-  "))</f>
        <v xml:space="preserve">  -NA-  </v>
      </c>
      <c r="BE15" s="62" t="str">
        <f>UPPER(IF(OR(G15="TCPL",G15="PRACTICAL - UG",G15="PRACTICAL - PG"),'Paste here'!AP15,"  -NA-  "))</f>
        <v xml:space="preserve">  -NA-  </v>
      </c>
      <c r="BF15" s="62" t="str">
        <f>IF(OR(G15="TCPL",G15="PRACTICAL - UG",G15="PRACTICAL - PG"),Skilled!L15,"")</f>
        <v/>
      </c>
      <c r="BG15" s="63"/>
      <c r="BH15" s="62" t="str">
        <f>IF(OR(AG15="ENGLISH",AG15="MBA"),"",IF(OR(G15="PRACTICAL - UG",G15="PRACTICAL - PG"),'Paste here'!AQ15,""))</f>
        <v/>
      </c>
      <c r="BI15" s="62" t="str">
        <f>UPPER(IF(OR(G15="PRACTICAL - UG",G15="PRACTICAL - PG"),'Paste here'!AR15,"  -NA-  "))</f>
        <v xml:space="preserve">  -NA-  </v>
      </c>
      <c r="BJ15" s="62" t="str">
        <f>IF(OR(G15="PRACTICAL - UG",G15="PRACTICAL - PG"),'Paste here'!AT15,"  -NA-  ")</f>
        <v xml:space="preserve">  -NA-  </v>
      </c>
      <c r="BK15" s="62" t="str">
        <f t="shared" si="1"/>
        <v xml:space="preserve">  -NA-  </v>
      </c>
      <c r="BL15" s="62" t="str">
        <f>IF(OR(G15="PRACTICAL - UG",G15="PRACTICAL - PG"),'Paste here'!AS15,"  -NA-  ")</f>
        <v xml:space="preserve">  -NA-  </v>
      </c>
      <c r="BM15" s="62" t="str">
        <f>IF(OR(G15="PRACTICAL - UG",G15="PRACTICAL - PG"),'Paste here'!M15,"  -NA-  ")</f>
        <v xml:space="preserve">  -NA-  </v>
      </c>
      <c r="BN15" s="62" t="str">
        <f>IF(OR(G15="PRACTICAL - UG",G15="PRACTICAL - PG"),'Paste here'!N15,"  -NA-  ")</f>
        <v xml:space="preserve">  -NA-  </v>
      </c>
      <c r="BO15" s="62" t="str">
        <f>IF(OR(AG15="ENGLISH",AG15="MBA"),"",IF(OR(G15="PRACTICAL - UG",G15="PRACTICAL - PG"),Technician!J15,"  -NA-  "))</f>
        <v xml:space="preserve">  -NA-  </v>
      </c>
      <c r="BP15" s="62" t="str">
        <f>IF(OR(G15="PRACTICAL - UG",G15="PRACTICAL - PG"),'Paste here'!AU15,"  -NA-  ")</f>
        <v xml:space="preserve">  -NA-  </v>
      </c>
      <c r="BQ15" s="62" t="str">
        <f>UPPER(IF(OR(,G15="PRACTICAL - UG",G15="PRACTICAL - PG"),'Paste here'!AV15,"  -NA-  "))</f>
        <v xml:space="preserve">  -NA-  </v>
      </c>
      <c r="BR15" s="62" t="str">
        <f>UPPER(IF(OR(G15="PRACTICAL - UG",G15="PRACTICAL - PG"),'Paste here'!AW15,"  -NA-  "))</f>
        <v xml:space="preserve">  -NA-  </v>
      </c>
      <c r="BS15" s="62" t="str">
        <f>UPPER(IF(OR(G15="PRACTICAL - UG",G15="PRACTICAL - PG"),'Paste here'!AX15,"  -NA-  "))</f>
        <v xml:space="preserve">  -NA-  </v>
      </c>
      <c r="BT15" s="39" t="str">
        <f>IF(OR(AG15="ENGLISH",AG15="MBA"),"",IF(OR(G15="PRACTICAL - UG",G15="PRACTICAL - PG"),Technician!L15,""))</f>
        <v/>
      </c>
    </row>
    <row r="16" spans="1:72" s="13" customFormat="1" ht="19.899999999999999" customHeight="1" x14ac:dyDescent="0.25">
      <c r="A16" s="5">
        <f>'Paste here'!A16</f>
        <v>0</v>
      </c>
      <c r="B16" s="39">
        <f>'Paste here'!F16</f>
        <v>0</v>
      </c>
      <c r="C16" s="39">
        <f>'Paste here'!J16</f>
        <v>0</v>
      </c>
      <c r="D16" s="39">
        <f>'Paste here'!K16</f>
        <v>0</v>
      </c>
      <c r="E16" s="39" t="str">
        <f>UPPER('Paste here'!H16)</f>
        <v/>
      </c>
      <c r="F16" s="39">
        <f>'Paste here'!I16</f>
        <v>0</v>
      </c>
      <c r="G16" s="39">
        <f>'Paste here'!G16</f>
        <v>0</v>
      </c>
      <c r="H16" s="84">
        <f>'Paste here'!D16</f>
        <v>0</v>
      </c>
      <c r="I16" s="39">
        <f>'Paste here'!E16</f>
        <v>0</v>
      </c>
      <c r="J16" s="63"/>
      <c r="K16" s="39">
        <f>'Paste here'!O16</f>
        <v>0</v>
      </c>
      <c r="L16" s="67" t="str">
        <f>UPPER('Paste here'!P16)</f>
        <v/>
      </c>
      <c r="M16" s="39">
        <f>'Paste here'!S16</f>
        <v>0</v>
      </c>
      <c r="N16" s="39">
        <f>'Paste here'!R16</f>
        <v>0</v>
      </c>
      <c r="O16" s="39">
        <f>'Paste here'!T16</f>
        <v>0</v>
      </c>
      <c r="P16" s="5" t="e">
        <f>IF(VLOOKUP(O16,'Distance matrix'!B$2:C$238,2,FALSE)&lt;36,"&lt;35",VLOOKUP(O16,'Distance matrix'!B$2:C$238,2,FALSE))</f>
        <v>#N/A</v>
      </c>
      <c r="Q16" s="39">
        <f>'Paste here'!Q16</f>
        <v>0</v>
      </c>
      <c r="R16" s="39">
        <f>'Paste here'!M16</f>
        <v>0</v>
      </c>
      <c r="S16" s="39">
        <f>'Paste here'!N16</f>
        <v>0</v>
      </c>
      <c r="T16" s="65" t="e">
        <f>External!K16</f>
        <v>#N/A</v>
      </c>
      <c r="U16" s="62">
        <f>External!M16</f>
        <v>0</v>
      </c>
      <c r="V16" s="62">
        <f>External!L16</f>
        <v>0</v>
      </c>
      <c r="W16" s="62" t="e">
        <f>External!N16</f>
        <v>#N/A</v>
      </c>
      <c r="X16" s="39">
        <f>'Paste here'!U16</f>
        <v>0</v>
      </c>
      <c r="Y16" s="39" t="str">
        <f>UPPER('Paste here'!V16)</f>
        <v/>
      </c>
      <c r="Z16" s="39" t="str">
        <f>UPPER('Paste here'!W16)</f>
        <v/>
      </c>
      <c r="AA16" s="39" t="str">
        <f>UPPER('Paste here'!X16)</f>
        <v/>
      </c>
      <c r="AB16" s="39" t="e">
        <f>External!O16</f>
        <v>#VALUE!</v>
      </c>
      <c r="AC16" s="63"/>
      <c r="AD16" s="62">
        <f>'Paste here'!Y16</f>
        <v>0</v>
      </c>
      <c r="AE16" s="62" t="str">
        <f>UPPER('Paste here'!Z16)</f>
        <v/>
      </c>
      <c r="AF16" s="62">
        <f>'Paste here'!AC16</f>
        <v>0</v>
      </c>
      <c r="AG16" s="62">
        <f>'Paste here'!AB16</f>
        <v>0</v>
      </c>
      <c r="AH16" s="62" t="s">
        <v>47</v>
      </c>
      <c r="AI16" s="62">
        <f>'Paste here'!AA16</f>
        <v>0</v>
      </c>
      <c r="AJ16" s="62">
        <f>'Paste here'!M16</f>
        <v>0</v>
      </c>
      <c r="AK16" s="62">
        <f>'Paste here'!N16</f>
        <v>0</v>
      </c>
      <c r="AL16" s="62" t="e">
        <f>Internal!L16</f>
        <v>#N/A</v>
      </c>
      <c r="AM16" s="62">
        <f>'Paste here'!AD16</f>
        <v>0</v>
      </c>
      <c r="AN16" s="62" t="str">
        <f>UPPER('Paste here'!AE16)</f>
        <v/>
      </c>
      <c r="AO16" s="62" t="str">
        <f>UPPER('Paste here'!AF16)</f>
        <v/>
      </c>
      <c r="AP16" s="62" t="str">
        <f>UPPER('Paste here'!AG16)</f>
        <v/>
      </c>
      <c r="AQ16" s="62" t="e">
        <f>Internal!M16</f>
        <v>#VALUE!</v>
      </c>
      <c r="AR16" s="63"/>
      <c r="AS16" s="62" t="str">
        <f>IF(OR(G16="TCPL",G16="PRACTICAL - UG",G16="PRACTICAL - PG"),'Paste here'!AH16,"")</f>
        <v/>
      </c>
      <c r="AT16" s="62" t="str">
        <f>UPPER(IF(OR(G16="TCPL",G16="PRACTICAL - UG",G16="PRACTICAL - PG"),'Paste here'!AI16,"  -NA-  "))</f>
        <v xml:space="preserve">  -NA-  </v>
      </c>
      <c r="AU16" s="62" t="str">
        <f>IF(OR(G16="TCPL",G16="PRACTICAL - UG",G16="PRACTICAL - PG"),'Paste here'!AL16,"  -NA-  ")</f>
        <v xml:space="preserve">  -NA-  </v>
      </c>
      <c r="AV16" s="62" t="str">
        <f>IF(OR(G16="TCPL",G16="PRACTICAL - UG",G16="PRACTICAL - PG"),'Paste here'!AK16,"  -NA-  ")</f>
        <v xml:space="preserve">  -NA-  </v>
      </c>
      <c r="AW16" s="62" t="str">
        <f t="shared" ref="AW16:AW37" si="2">IF(OR(G16="TCPL",G16="PRACTICAL - UG",G16="PRACTICAL - PG"),"KRCE","  -NA-  ")</f>
        <v xml:space="preserve">  -NA-  </v>
      </c>
      <c r="AX16" s="62" t="str">
        <f>IF(OR(G16="TCPL",G16="PRACTICAL - UG",G16="PRACTICAL - PG"),'Paste here'!AJ16,"  -NA-  ")</f>
        <v xml:space="preserve">  -NA-  </v>
      </c>
      <c r="AY16" s="62" t="str">
        <f>IF(OR(G16="TCPL",G16="PRACTICAL - UG",G16="PRACTICAL - PG"),'Paste here'!M16,"  -NA-  ")</f>
        <v xml:space="preserve">  -NA-  </v>
      </c>
      <c r="AZ16" s="62" t="str">
        <f>IF(OR(G16="TCPL",G16="PRACTICAL - UG",G16="PRACTICAL - PG"),'Paste here'!N16,"  -NA-  ")</f>
        <v xml:space="preserve">  -NA-  </v>
      </c>
      <c r="BA16" s="62" t="str">
        <f>IF(OR(G16="TCPL",G16="PRACTICAL - UG",G16="PRACTICAL - PG"),Skilled!K16,"  -NA-  ")</f>
        <v xml:space="preserve">  -NA-  </v>
      </c>
      <c r="BB16" s="62" t="str">
        <f>IF(OR(G16="TCPL",G16="PRACTICAL - UG",G16="PRACTICAL - PG"),'Paste here'!AM16,"  -NA-  ")</f>
        <v xml:space="preserve">  -NA-  </v>
      </c>
      <c r="BC16" s="62" t="str">
        <f>UPPER(IF(OR(G16="TCPL",G16="PRACTICAL - UG",G16="PRACTICAL - PG"),'Paste here'!AN16,"  -NA-  "))</f>
        <v xml:space="preserve">  -NA-  </v>
      </c>
      <c r="BD16" s="62" t="str">
        <f>UPPER(IF(OR(G16="TCPL",G16="PRACTICAL - UG",G16="PRACTICAL - PG"),'Paste here'!AO16,"  -NA-  "))</f>
        <v xml:space="preserve">  -NA-  </v>
      </c>
      <c r="BE16" s="62" t="str">
        <f>UPPER(IF(OR(G16="TCPL",G16="PRACTICAL - UG",G16="PRACTICAL - PG"),'Paste here'!AP16,"  -NA-  "))</f>
        <v xml:space="preserve">  -NA-  </v>
      </c>
      <c r="BF16" s="62" t="str">
        <f>IF(OR(G16="TCPL",G16="PRACTICAL - UG",G16="PRACTICAL - PG"),Skilled!L16,"")</f>
        <v/>
      </c>
      <c r="BG16" s="63"/>
      <c r="BH16" s="62" t="str">
        <f>IF(OR(AG16="ENGLISH",AG16="MBA"),"",IF(OR(G16="PRACTICAL - UG",G16="PRACTICAL - PG"),'Paste here'!AQ16,""))</f>
        <v/>
      </c>
      <c r="BI16" s="62" t="str">
        <f>UPPER(IF(OR(G16="PRACTICAL - UG",G16="PRACTICAL - PG"),'Paste here'!AR16,"  -NA-  "))</f>
        <v xml:space="preserve">  -NA-  </v>
      </c>
      <c r="BJ16" s="62" t="str">
        <f>IF(OR(G16="PRACTICAL - UG",G16="PRACTICAL - PG"),'Paste here'!AT16,"  -NA-  ")</f>
        <v xml:space="preserve">  -NA-  </v>
      </c>
      <c r="BK16" s="62" t="str">
        <f t="shared" ref="BK16:BK37" si="3">IF(OR(AG16="ENGLISH",AG16="MBA"),"-NA-",IF(OR(G16="PRACTICAL - UG",G16="PRACTICAL - PG"),"KRCE","  -NA-  "))</f>
        <v xml:space="preserve">  -NA-  </v>
      </c>
      <c r="BL16" s="62" t="str">
        <f>IF(OR(G16="PRACTICAL - UG",G16="PRACTICAL - PG"),'Paste here'!AS16,"  -NA-  ")</f>
        <v xml:space="preserve">  -NA-  </v>
      </c>
      <c r="BM16" s="62" t="str">
        <f>IF(OR(G16="PRACTICAL - UG",G16="PRACTICAL - PG"),'Paste here'!M16,"  -NA-  ")</f>
        <v xml:space="preserve">  -NA-  </v>
      </c>
      <c r="BN16" s="62" t="str">
        <f>IF(OR(G16="PRACTICAL - UG",G16="PRACTICAL - PG"),'Paste here'!N16,"  -NA-  ")</f>
        <v xml:space="preserve">  -NA-  </v>
      </c>
      <c r="BO16" s="62" t="str">
        <f>IF(OR(AG16="ENGLISH",AG16="MBA"),"",IF(OR(G16="PRACTICAL - UG",G16="PRACTICAL - PG"),Technician!J16,"  -NA-  "))</f>
        <v xml:space="preserve">  -NA-  </v>
      </c>
      <c r="BP16" s="62" t="str">
        <f>IF(OR(G16="PRACTICAL - UG",G16="PRACTICAL - PG"),'Paste here'!AU16,"  -NA-  ")</f>
        <v xml:space="preserve">  -NA-  </v>
      </c>
      <c r="BQ16" s="62" t="str">
        <f>UPPER(IF(OR(,G16="PRACTICAL - UG",G16="PRACTICAL - PG"),'Paste here'!AV16,"  -NA-  "))</f>
        <v xml:space="preserve">  -NA-  </v>
      </c>
      <c r="BR16" s="62" t="str">
        <f>UPPER(IF(OR(G16="PRACTICAL - UG",G16="PRACTICAL - PG"),'Paste here'!AW16,"  -NA-  "))</f>
        <v xml:space="preserve">  -NA-  </v>
      </c>
      <c r="BS16" s="62" t="str">
        <f>UPPER(IF(OR(G16="PRACTICAL - UG",G16="PRACTICAL - PG"),'Paste here'!AX16,"  -NA-  "))</f>
        <v xml:space="preserve">  -NA-  </v>
      </c>
      <c r="BT16" s="39" t="str">
        <f>IF(OR(AG16="ENGLISH",AG16="MBA"),"",IF(OR(G16="PRACTICAL - UG",G16="PRACTICAL - PG"),Technician!L16,""))</f>
        <v/>
      </c>
    </row>
    <row r="17" spans="1:72" s="13" customFormat="1" ht="19.899999999999999" customHeight="1" x14ac:dyDescent="0.25">
      <c r="A17" s="5">
        <f>'Paste here'!A17</f>
        <v>0</v>
      </c>
      <c r="B17" s="39">
        <f>'Paste here'!F17</f>
        <v>0</v>
      </c>
      <c r="C17" s="39">
        <f>'Paste here'!J17</f>
        <v>0</v>
      </c>
      <c r="D17" s="39">
        <f>'Paste here'!K17</f>
        <v>0</v>
      </c>
      <c r="E17" s="39" t="str">
        <f>UPPER('Paste here'!H17)</f>
        <v/>
      </c>
      <c r="F17" s="39">
        <f>'Paste here'!I17</f>
        <v>0</v>
      </c>
      <c r="G17" s="39">
        <f>'Paste here'!G17</f>
        <v>0</v>
      </c>
      <c r="H17" s="84">
        <f>'Paste here'!D17</f>
        <v>0</v>
      </c>
      <c r="I17" s="39">
        <f>'Paste here'!E17</f>
        <v>0</v>
      </c>
      <c r="J17" s="63"/>
      <c r="K17" s="39">
        <f>'Paste here'!O17</f>
        <v>0</v>
      </c>
      <c r="L17" s="67" t="str">
        <f>UPPER('Paste here'!P17)</f>
        <v/>
      </c>
      <c r="M17" s="39">
        <f>'Paste here'!S17</f>
        <v>0</v>
      </c>
      <c r="N17" s="39">
        <f>'Paste here'!R17</f>
        <v>0</v>
      </c>
      <c r="O17" s="39">
        <f>'Paste here'!T17</f>
        <v>0</v>
      </c>
      <c r="P17" s="5" t="e">
        <f>IF(VLOOKUP(O17,'Distance matrix'!B$2:C$238,2,FALSE)&lt;36,"&lt;35",VLOOKUP(O17,'Distance matrix'!B$2:C$238,2,FALSE))</f>
        <v>#N/A</v>
      </c>
      <c r="Q17" s="39">
        <f>'Paste here'!Q17</f>
        <v>0</v>
      </c>
      <c r="R17" s="39">
        <f>'Paste here'!M17</f>
        <v>0</v>
      </c>
      <c r="S17" s="39">
        <f>'Paste here'!N17</f>
        <v>0</v>
      </c>
      <c r="T17" s="65" t="e">
        <f>External!K17</f>
        <v>#N/A</v>
      </c>
      <c r="U17" s="62">
        <f>External!M17</f>
        <v>0</v>
      </c>
      <c r="V17" s="62">
        <f>External!L17</f>
        <v>0</v>
      </c>
      <c r="W17" s="62" t="e">
        <f>External!N17</f>
        <v>#N/A</v>
      </c>
      <c r="X17" s="39">
        <f>'Paste here'!U17</f>
        <v>0</v>
      </c>
      <c r="Y17" s="39" t="str">
        <f>UPPER('Paste here'!V17)</f>
        <v/>
      </c>
      <c r="Z17" s="39" t="str">
        <f>UPPER('Paste here'!W17)</f>
        <v/>
      </c>
      <c r="AA17" s="39" t="str">
        <f>UPPER('Paste here'!X17)</f>
        <v/>
      </c>
      <c r="AB17" s="39" t="e">
        <f>External!O17</f>
        <v>#VALUE!</v>
      </c>
      <c r="AC17" s="63"/>
      <c r="AD17" s="62">
        <f>'Paste here'!Y17</f>
        <v>0</v>
      </c>
      <c r="AE17" s="62" t="str">
        <f>UPPER('Paste here'!Z17)</f>
        <v/>
      </c>
      <c r="AF17" s="62">
        <f>'Paste here'!AC17</f>
        <v>0</v>
      </c>
      <c r="AG17" s="62">
        <f>'Paste here'!AB17</f>
        <v>0</v>
      </c>
      <c r="AH17" s="62" t="s">
        <v>47</v>
      </c>
      <c r="AI17" s="62">
        <f>'Paste here'!AA17</f>
        <v>0</v>
      </c>
      <c r="AJ17" s="62">
        <f>'Paste here'!M17</f>
        <v>0</v>
      </c>
      <c r="AK17" s="62">
        <f>'Paste here'!N17</f>
        <v>0</v>
      </c>
      <c r="AL17" s="62" t="e">
        <f>Internal!L17</f>
        <v>#N/A</v>
      </c>
      <c r="AM17" s="62">
        <f>'Paste here'!AD17</f>
        <v>0</v>
      </c>
      <c r="AN17" s="62" t="str">
        <f>UPPER('Paste here'!AE17)</f>
        <v/>
      </c>
      <c r="AO17" s="62" t="str">
        <f>UPPER('Paste here'!AF17)</f>
        <v/>
      </c>
      <c r="AP17" s="62" t="str">
        <f>UPPER('Paste here'!AG17)</f>
        <v/>
      </c>
      <c r="AQ17" s="62" t="e">
        <f>Internal!M17</f>
        <v>#VALUE!</v>
      </c>
      <c r="AR17" s="63"/>
      <c r="AS17" s="62" t="str">
        <f>IF(OR(G17="TCPL",G17="PRACTICAL - UG",G17="PRACTICAL - PG"),'Paste here'!AH17,"")</f>
        <v/>
      </c>
      <c r="AT17" s="62" t="str">
        <f>UPPER(IF(OR(G17="TCPL",G17="PRACTICAL - UG",G17="PRACTICAL - PG"),'Paste here'!AI17,"  -NA-  "))</f>
        <v xml:space="preserve">  -NA-  </v>
      </c>
      <c r="AU17" s="62" t="str">
        <f>IF(OR(G17="TCPL",G17="PRACTICAL - UG",G17="PRACTICAL - PG"),'Paste here'!AL17,"  -NA-  ")</f>
        <v xml:space="preserve">  -NA-  </v>
      </c>
      <c r="AV17" s="62" t="str">
        <f>IF(OR(G17="TCPL",G17="PRACTICAL - UG",G17="PRACTICAL - PG"),'Paste here'!AK17,"  -NA-  ")</f>
        <v xml:space="preserve">  -NA-  </v>
      </c>
      <c r="AW17" s="62" t="str">
        <f t="shared" si="2"/>
        <v xml:space="preserve">  -NA-  </v>
      </c>
      <c r="AX17" s="62" t="str">
        <f>IF(OR(G17="TCPL",G17="PRACTICAL - UG",G17="PRACTICAL - PG"),'Paste here'!AJ17,"  -NA-  ")</f>
        <v xml:space="preserve">  -NA-  </v>
      </c>
      <c r="AY17" s="62" t="str">
        <f>IF(OR(G17="TCPL",G17="PRACTICAL - UG",G17="PRACTICAL - PG"),'Paste here'!M17,"  -NA-  ")</f>
        <v xml:space="preserve">  -NA-  </v>
      </c>
      <c r="AZ17" s="62" t="str">
        <f>IF(OR(G17="TCPL",G17="PRACTICAL - UG",G17="PRACTICAL - PG"),'Paste here'!N17,"  -NA-  ")</f>
        <v xml:space="preserve">  -NA-  </v>
      </c>
      <c r="BA17" s="62" t="str">
        <f>IF(OR(G17="TCPL",G17="PRACTICAL - UG",G17="PRACTICAL - PG"),Skilled!K17,"  -NA-  ")</f>
        <v xml:space="preserve">  -NA-  </v>
      </c>
      <c r="BB17" s="62" t="str">
        <f>IF(OR(G17="TCPL",G17="PRACTICAL - UG",G17="PRACTICAL - PG"),'Paste here'!AM17,"  -NA-  ")</f>
        <v xml:space="preserve">  -NA-  </v>
      </c>
      <c r="BC17" s="62" t="str">
        <f>UPPER(IF(OR(G17="TCPL",G17="PRACTICAL - UG",G17="PRACTICAL - PG"),'Paste here'!AN17,"  -NA-  "))</f>
        <v xml:space="preserve">  -NA-  </v>
      </c>
      <c r="BD17" s="62" t="str">
        <f>UPPER(IF(OR(G17="TCPL",G17="PRACTICAL - UG",G17="PRACTICAL - PG"),'Paste here'!AO17,"  -NA-  "))</f>
        <v xml:space="preserve">  -NA-  </v>
      </c>
      <c r="BE17" s="62" t="str">
        <f>UPPER(IF(OR(G17="TCPL",G17="PRACTICAL - UG",G17="PRACTICAL - PG"),'Paste here'!AP17,"  -NA-  "))</f>
        <v xml:space="preserve">  -NA-  </v>
      </c>
      <c r="BF17" s="62" t="str">
        <f>IF(OR(G17="TCPL",G17="PRACTICAL - UG",G17="PRACTICAL - PG"),Skilled!L17,"")</f>
        <v/>
      </c>
      <c r="BG17" s="63"/>
      <c r="BH17" s="62" t="str">
        <f>IF(OR(AG17="ENGLISH",AG17="MBA"),"",IF(OR(G17="PRACTICAL - UG",G17="PRACTICAL - PG"),'Paste here'!AQ17,""))</f>
        <v/>
      </c>
      <c r="BI17" s="62" t="str">
        <f>UPPER(IF(OR(G17="PRACTICAL - UG",G17="PRACTICAL - PG"),'Paste here'!AR17,"  -NA-  "))</f>
        <v xml:space="preserve">  -NA-  </v>
      </c>
      <c r="BJ17" s="62" t="str">
        <f>IF(OR(G17="PRACTICAL - UG",G17="PRACTICAL - PG"),'Paste here'!AT17,"  -NA-  ")</f>
        <v xml:space="preserve">  -NA-  </v>
      </c>
      <c r="BK17" s="62" t="str">
        <f t="shared" si="3"/>
        <v xml:space="preserve">  -NA-  </v>
      </c>
      <c r="BL17" s="62" t="str">
        <f>IF(OR(G17="PRACTICAL - UG",G17="PRACTICAL - PG"),'Paste here'!AS17,"  -NA-  ")</f>
        <v xml:space="preserve">  -NA-  </v>
      </c>
      <c r="BM17" s="62" t="str">
        <f>IF(OR(G17="PRACTICAL - UG",G17="PRACTICAL - PG"),'Paste here'!M17,"  -NA-  ")</f>
        <v xml:space="preserve">  -NA-  </v>
      </c>
      <c r="BN17" s="62" t="str">
        <f>IF(OR(G17="PRACTICAL - UG",G17="PRACTICAL - PG"),'Paste here'!N17,"  -NA-  ")</f>
        <v xml:space="preserve">  -NA-  </v>
      </c>
      <c r="BO17" s="62" t="str">
        <f>IF(OR(AG17="ENGLISH",AG17="MBA"),"",IF(OR(G17="PRACTICAL - UG",G17="PRACTICAL - PG"),Technician!J17,"  -NA-  "))</f>
        <v xml:space="preserve">  -NA-  </v>
      </c>
      <c r="BP17" s="62" t="str">
        <f>IF(OR(G17="PRACTICAL - UG",G17="PRACTICAL - PG"),'Paste here'!AU17,"  -NA-  ")</f>
        <v xml:space="preserve">  -NA-  </v>
      </c>
      <c r="BQ17" s="62" t="str">
        <f>UPPER(IF(OR(,G17="PRACTICAL - UG",G17="PRACTICAL - PG"),'Paste here'!AV17,"  -NA-  "))</f>
        <v xml:space="preserve">  -NA-  </v>
      </c>
      <c r="BR17" s="62" t="str">
        <f>UPPER(IF(OR(G17="PRACTICAL - UG",G17="PRACTICAL - PG"),'Paste here'!AW17,"  -NA-  "))</f>
        <v xml:space="preserve">  -NA-  </v>
      </c>
      <c r="BS17" s="62" t="str">
        <f>UPPER(IF(OR(G17="PRACTICAL - UG",G17="PRACTICAL - PG"),'Paste here'!AX17,"  -NA-  "))</f>
        <v xml:space="preserve">  -NA-  </v>
      </c>
      <c r="BT17" s="39" t="str">
        <f>IF(OR(AG17="ENGLISH",AG17="MBA"),"",IF(OR(G17="PRACTICAL - UG",G17="PRACTICAL - PG"),Technician!L17,""))</f>
        <v/>
      </c>
    </row>
    <row r="18" spans="1:72" s="13" customFormat="1" ht="19.899999999999999" customHeight="1" x14ac:dyDescent="0.25">
      <c r="A18" s="5">
        <f>'Paste here'!A18</f>
        <v>0</v>
      </c>
      <c r="B18" s="39">
        <f>'Paste here'!F18</f>
        <v>0</v>
      </c>
      <c r="C18" s="39">
        <f>'Paste here'!J18</f>
        <v>0</v>
      </c>
      <c r="D18" s="39">
        <f>'Paste here'!K18</f>
        <v>0</v>
      </c>
      <c r="E18" s="39" t="str">
        <f>UPPER('Paste here'!H18)</f>
        <v/>
      </c>
      <c r="F18" s="39">
        <f>'Paste here'!I18</f>
        <v>0</v>
      </c>
      <c r="G18" s="39">
        <f>'Paste here'!G18</f>
        <v>0</v>
      </c>
      <c r="H18" s="84">
        <f>'Paste here'!D18</f>
        <v>0</v>
      </c>
      <c r="I18" s="39">
        <f>'Paste here'!E18</f>
        <v>0</v>
      </c>
      <c r="J18" s="63"/>
      <c r="K18" s="39">
        <f>'Paste here'!O18</f>
        <v>0</v>
      </c>
      <c r="L18" s="67" t="str">
        <f>UPPER('Paste here'!P18)</f>
        <v/>
      </c>
      <c r="M18" s="39">
        <f>'Paste here'!S18</f>
        <v>0</v>
      </c>
      <c r="N18" s="39">
        <f>'Paste here'!R18</f>
        <v>0</v>
      </c>
      <c r="O18" s="39">
        <f>'Paste here'!T18</f>
        <v>0</v>
      </c>
      <c r="P18" s="5" t="e">
        <f>IF(VLOOKUP(O18,'Distance matrix'!B$2:C$238,2,FALSE)&lt;36,"&lt;35",VLOOKUP(O18,'Distance matrix'!B$2:C$238,2,FALSE))</f>
        <v>#N/A</v>
      </c>
      <c r="Q18" s="39">
        <f>'Paste here'!Q18</f>
        <v>0</v>
      </c>
      <c r="R18" s="39">
        <f>'Paste here'!M18</f>
        <v>0</v>
      </c>
      <c r="S18" s="39">
        <f>'Paste here'!N18</f>
        <v>0</v>
      </c>
      <c r="T18" s="65" t="e">
        <f>External!K18</f>
        <v>#N/A</v>
      </c>
      <c r="U18" s="62">
        <f>External!M18</f>
        <v>0</v>
      </c>
      <c r="V18" s="62">
        <f>External!L18</f>
        <v>0</v>
      </c>
      <c r="W18" s="62" t="e">
        <f>External!N18</f>
        <v>#N/A</v>
      </c>
      <c r="X18" s="39">
        <f>'Paste here'!U18</f>
        <v>0</v>
      </c>
      <c r="Y18" s="39" t="str">
        <f>UPPER('Paste here'!V18)</f>
        <v/>
      </c>
      <c r="Z18" s="39" t="str">
        <f>UPPER('Paste here'!W18)</f>
        <v/>
      </c>
      <c r="AA18" s="39" t="str">
        <f>UPPER('Paste here'!X18)</f>
        <v/>
      </c>
      <c r="AB18" s="39" t="e">
        <f>External!O18</f>
        <v>#VALUE!</v>
      </c>
      <c r="AC18" s="63"/>
      <c r="AD18" s="62">
        <f>'Paste here'!Y18</f>
        <v>0</v>
      </c>
      <c r="AE18" s="62" t="str">
        <f>UPPER('Paste here'!Z18)</f>
        <v/>
      </c>
      <c r="AF18" s="62">
        <f>'Paste here'!AC18</f>
        <v>0</v>
      </c>
      <c r="AG18" s="62">
        <f>'Paste here'!AB18</f>
        <v>0</v>
      </c>
      <c r="AH18" s="62" t="s">
        <v>47</v>
      </c>
      <c r="AI18" s="62">
        <f>'Paste here'!AA18</f>
        <v>0</v>
      </c>
      <c r="AJ18" s="62">
        <f>'Paste here'!M18</f>
        <v>0</v>
      </c>
      <c r="AK18" s="62">
        <f>'Paste here'!N18</f>
        <v>0</v>
      </c>
      <c r="AL18" s="62" t="e">
        <f>Internal!L18</f>
        <v>#N/A</v>
      </c>
      <c r="AM18" s="62">
        <f>'Paste here'!AD18</f>
        <v>0</v>
      </c>
      <c r="AN18" s="62" t="str">
        <f>UPPER('Paste here'!AE18)</f>
        <v/>
      </c>
      <c r="AO18" s="62" t="str">
        <f>UPPER('Paste here'!AF18)</f>
        <v/>
      </c>
      <c r="AP18" s="62" t="str">
        <f>UPPER('Paste here'!AG18)</f>
        <v/>
      </c>
      <c r="AQ18" s="62" t="e">
        <f>Internal!M18</f>
        <v>#VALUE!</v>
      </c>
      <c r="AR18" s="63"/>
      <c r="AS18" s="62" t="str">
        <f>IF(OR(G18="TCPL",G18="PRACTICAL - UG",G18="PRACTICAL - PG"),'Paste here'!AH18,"")</f>
        <v/>
      </c>
      <c r="AT18" s="62" t="str">
        <f>UPPER(IF(OR(G18="TCPL",G18="PRACTICAL - UG",G18="PRACTICAL - PG"),'Paste here'!AI18,"  -NA-  "))</f>
        <v xml:space="preserve">  -NA-  </v>
      </c>
      <c r="AU18" s="62" t="str">
        <f>IF(OR(G18="TCPL",G18="PRACTICAL - UG",G18="PRACTICAL - PG"),'Paste here'!AL18,"  -NA-  ")</f>
        <v xml:space="preserve">  -NA-  </v>
      </c>
      <c r="AV18" s="62" t="str">
        <f>IF(OR(G18="TCPL",G18="PRACTICAL - UG",G18="PRACTICAL - PG"),'Paste here'!AK18,"  -NA-  ")</f>
        <v xml:space="preserve">  -NA-  </v>
      </c>
      <c r="AW18" s="62" t="str">
        <f t="shared" si="2"/>
        <v xml:space="preserve">  -NA-  </v>
      </c>
      <c r="AX18" s="62" t="str">
        <f>IF(OR(G18="TCPL",G18="PRACTICAL - UG",G18="PRACTICAL - PG"),'Paste here'!AJ18,"  -NA-  ")</f>
        <v xml:space="preserve">  -NA-  </v>
      </c>
      <c r="AY18" s="62" t="str">
        <f>IF(OR(G18="TCPL",G18="PRACTICAL - UG",G18="PRACTICAL - PG"),'Paste here'!M18,"  -NA-  ")</f>
        <v xml:space="preserve">  -NA-  </v>
      </c>
      <c r="AZ18" s="62" t="str">
        <f>IF(OR(G18="TCPL",G18="PRACTICAL - UG",G18="PRACTICAL - PG"),'Paste here'!N18,"  -NA-  ")</f>
        <v xml:space="preserve">  -NA-  </v>
      </c>
      <c r="BA18" s="62" t="str">
        <f>IF(OR(G18="TCPL",G18="PRACTICAL - UG",G18="PRACTICAL - PG"),Skilled!K18,"  -NA-  ")</f>
        <v xml:space="preserve">  -NA-  </v>
      </c>
      <c r="BB18" s="62" t="str">
        <f>IF(OR(G18="TCPL",G18="PRACTICAL - UG",G18="PRACTICAL - PG"),'Paste here'!AM18,"  -NA-  ")</f>
        <v xml:space="preserve">  -NA-  </v>
      </c>
      <c r="BC18" s="62" t="str">
        <f>UPPER(IF(OR(G18="TCPL",G18="PRACTICAL - UG",G18="PRACTICAL - PG"),'Paste here'!AN18,"  -NA-  "))</f>
        <v xml:space="preserve">  -NA-  </v>
      </c>
      <c r="BD18" s="62" t="str">
        <f>UPPER(IF(OR(G18="TCPL",G18="PRACTICAL - UG",G18="PRACTICAL - PG"),'Paste here'!AO18,"  -NA-  "))</f>
        <v xml:space="preserve">  -NA-  </v>
      </c>
      <c r="BE18" s="62" t="str">
        <f>UPPER(IF(OR(G18="TCPL",G18="PRACTICAL - UG",G18="PRACTICAL - PG"),'Paste here'!AP18,"  -NA-  "))</f>
        <v xml:space="preserve">  -NA-  </v>
      </c>
      <c r="BF18" s="62" t="str">
        <f>IF(OR(G18="TCPL",G18="PRACTICAL - UG",G18="PRACTICAL - PG"),Skilled!L18,"")</f>
        <v/>
      </c>
      <c r="BG18" s="63"/>
      <c r="BH18" s="62" t="str">
        <f>IF(OR(AG18="ENGLISH",AG18="MBA"),"",IF(OR(G18="PRACTICAL - UG",G18="PRACTICAL - PG"),'Paste here'!AQ18,""))</f>
        <v/>
      </c>
      <c r="BI18" s="62" t="str">
        <f>UPPER(IF(OR(G18="PRACTICAL - UG",G18="PRACTICAL - PG"),'Paste here'!AR18,"  -NA-  "))</f>
        <v xml:space="preserve">  -NA-  </v>
      </c>
      <c r="BJ18" s="62" t="str">
        <f>IF(OR(G18="PRACTICAL - UG",G18="PRACTICAL - PG"),'Paste here'!AT18,"  -NA-  ")</f>
        <v xml:space="preserve">  -NA-  </v>
      </c>
      <c r="BK18" s="62" t="str">
        <f t="shared" si="3"/>
        <v xml:space="preserve">  -NA-  </v>
      </c>
      <c r="BL18" s="62" t="str">
        <f>IF(OR(G18="PRACTICAL - UG",G18="PRACTICAL - PG"),'Paste here'!AS18,"  -NA-  ")</f>
        <v xml:space="preserve">  -NA-  </v>
      </c>
      <c r="BM18" s="62" t="str">
        <f>IF(OR(G18="PRACTICAL - UG",G18="PRACTICAL - PG"),'Paste here'!M18,"  -NA-  ")</f>
        <v xml:space="preserve">  -NA-  </v>
      </c>
      <c r="BN18" s="62" t="str">
        <f>IF(OR(G18="PRACTICAL - UG",G18="PRACTICAL - PG"),'Paste here'!N18,"  -NA-  ")</f>
        <v xml:space="preserve">  -NA-  </v>
      </c>
      <c r="BO18" s="62" t="str">
        <f>IF(OR(AG18="ENGLISH",AG18="MBA"),"",IF(OR(G18="PRACTICAL - UG",G18="PRACTICAL - PG"),Technician!J18,"  -NA-  "))</f>
        <v xml:space="preserve">  -NA-  </v>
      </c>
      <c r="BP18" s="62" t="str">
        <f>IF(OR(G18="PRACTICAL - UG",G18="PRACTICAL - PG"),'Paste here'!AU18,"  -NA-  ")</f>
        <v xml:space="preserve">  -NA-  </v>
      </c>
      <c r="BQ18" s="62" t="str">
        <f>UPPER(IF(OR(,G18="PRACTICAL - UG",G18="PRACTICAL - PG"),'Paste here'!AV18,"  -NA-  "))</f>
        <v xml:space="preserve">  -NA-  </v>
      </c>
      <c r="BR18" s="62" t="str">
        <f>UPPER(IF(OR(G18="PRACTICAL - UG",G18="PRACTICAL - PG"),'Paste here'!AW18,"  -NA-  "))</f>
        <v xml:space="preserve">  -NA-  </v>
      </c>
      <c r="BS18" s="62" t="str">
        <f>UPPER(IF(OR(G18="PRACTICAL - UG",G18="PRACTICAL - PG"),'Paste here'!AX18,"  -NA-  "))</f>
        <v xml:space="preserve">  -NA-  </v>
      </c>
      <c r="BT18" s="39" t="str">
        <f>IF(OR(AG18="ENGLISH",AG18="MBA"),"",IF(OR(G18="PRACTICAL - UG",G18="PRACTICAL - PG"),Technician!L18,""))</f>
        <v/>
      </c>
    </row>
    <row r="19" spans="1:72" s="13" customFormat="1" ht="19.899999999999999" customHeight="1" x14ac:dyDescent="0.25">
      <c r="A19" s="5">
        <f>'Paste here'!A19</f>
        <v>0</v>
      </c>
      <c r="B19" s="39">
        <f>'Paste here'!F19</f>
        <v>0</v>
      </c>
      <c r="C19" s="39">
        <f>'Paste here'!J19</f>
        <v>0</v>
      </c>
      <c r="D19" s="39">
        <f>'Paste here'!K19</f>
        <v>0</v>
      </c>
      <c r="E19" s="39" t="str">
        <f>UPPER('Paste here'!H19)</f>
        <v/>
      </c>
      <c r="F19" s="39">
        <f>'Paste here'!I19</f>
        <v>0</v>
      </c>
      <c r="G19" s="39">
        <f>'Paste here'!G19</f>
        <v>0</v>
      </c>
      <c r="H19" s="84">
        <f>'Paste here'!D19</f>
        <v>0</v>
      </c>
      <c r="I19" s="39">
        <f>'Paste here'!E19</f>
        <v>0</v>
      </c>
      <c r="J19" s="63"/>
      <c r="K19" s="39">
        <f>'Paste here'!O19</f>
        <v>0</v>
      </c>
      <c r="L19" s="67" t="str">
        <f>UPPER('Paste here'!P19)</f>
        <v/>
      </c>
      <c r="M19" s="39">
        <f>'Paste here'!S19</f>
        <v>0</v>
      </c>
      <c r="N19" s="39">
        <f>'Paste here'!R19</f>
        <v>0</v>
      </c>
      <c r="O19" s="39">
        <f>'Paste here'!T19</f>
        <v>0</v>
      </c>
      <c r="P19" s="5" t="e">
        <f>IF(VLOOKUP(O19,'Distance matrix'!B$2:C$238,2,FALSE)&lt;36,"&lt;35",VLOOKUP(O19,'Distance matrix'!B$2:C$238,2,FALSE))</f>
        <v>#N/A</v>
      </c>
      <c r="Q19" s="39">
        <f>'Paste here'!Q19</f>
        <v>0</v>
      </c>
      <c r="R19" s="39">
        <f>'Paste here'!M19</f>
        <v>0</v>
      </c>
      <c r="S19" s="39">
        <f>'Paste here'!N19</f>
        <v>0</v>
      </c>
      <c r="T19" s="65" t="e">
        <f>External!K19</f>
        <v>#N/A</v>
      </c>
      <c r="U19" s="62">
        <f>External!M19</f>
        <v>0</v>
      </c>
      <c r="V19" s="62">
        <f>External!L19</f>
        <v>0</v>
      </c>
      <c r="W19" s="62" t="e">
        <f>External!N19</f>
        <v>#N/A</v>
      </c>
      <c r="X19" s="39">
        <f>'Paste here'!U19</f>
        <v>0</v>
      </c>
      <c r="Y19" s="39" t="str">
        <f>UPPER('Paste here'!V19)</f>
        <v/>
      </c>
      <c r="Z19" s="39" t="str">
        <f>UPPER('Paste here'!W19)</f>
        <v/>
      </c>
      <c r="AA19" s="39" t="str">
        <f>UPPER('Paste here'!X19)</f>
        <v/>
      </c>
      <c r="AB19" s="39" t="e">
        <f>External!O19</f>
        <v>#VALUE!</v>
      </c>
      <c r="AC19" s="63"/>
      <c r="AD19" s="62">
        <f>'Paste here'!Y19</f>
        <v>0</v>
      </c>
      <c r="AE19" s="62" t="str">
        <f>UPPER('Paste here'!Z19)</f>
        <v/>
      </c>
      <c r="AF19" s="62">
        <f>'Paste here'!AC19</f>
        <v>0</v>
      </c>
      <c r="AG19" s="62">
        <f>'Paste here'!AB19</f>
        <v>0</v>
      </c>
      <c r="AH19" s="62" t="s">
        <v>47</v>
      </c>
      <c r="AI19" s="62">
        <f>'Paste here'!AA19</f>
        <v>0</v>
      </c>
      <c r="AJ19" s="62">
        <f>'Paste here'!M19</f>
        <v>0</v>
      </c>
      <c r="AK19" s="62">
        <f>'Paste here'!N19</f>
        <v>0</v>
      </c>
      <c r="AL19" s="62" t="e">
        <f>Internal!L19</f>
        <v>#N/A</v>
      </c>
      <c r="AM19" s="62">
        <f>'Paste here'!AD19</f>
        <v>0</v>
      </c>
      <c r="AN19" s="62" t="str">
        <f>UPPER('Paste here'!AE19)</f>
        <v/>
      </c>
      <c r="AO19" s="62" t="str">
        <f>UPPER('Paste here'!AF19)</f>
        <v/>
      </c>
      <c r="AP19" s="62" t="str">
        <f>UPPER('Paste here'!AG19)</f>
        <v/>
      </c>
      <c r="AQ19" s="62" t="e">
        <f>Internal!M19</f>
        <v>#VALUE!</v>
      </c>
      <c r="AR19" s="63"/>
      <c r="AS19" s="62" t="str">
        <f>IF(OR(G19="TCPL",G19="PRACTICAL - UG",G19="PRACTICAL - PG"),'Paste here'!AH19,"")</f>
        <v/>
      </c>
      <c r="AT19" s="62" t="str">
        <f>UPPER(IF(OR(G19="TCPL",G19="PRACTICAL - UG",G19="PRACTICAL - PG"),'Paste here'!AI19,"  -NA-  "))</f>
        <v xml:space="preserve">  -NA-  </v>
      </c>
      <c r="AU19" s="62" t="str">
        <f>IF(OR(G19="TCPL",G19="PRACTICAL - UG",G19="PRACTICAL - PG"),'Paste here'!AL19,"  -NA-  ")</f>
        <v xml:space="preserve">  -NA-  </v>
      </c>
      <c r="AV19" s="62" t="str">
        <f>IF(OR(G19="TCPL",G19="PRACTICAL - UG",G19="PRACTICAL - PG"),'Paste here'!AK19,"  -NA-  ")</f>
        <v xml:space="preserve">  -NA-  </v>
      </c>
      <c r="AW19" s="62" t="str">
        <f t="shared" si="2"/>
        <v xml:space="preserve">  -NA-  </v>
      </c>
      <c r="AX19" s="62" t="str">
        <f>IF(OR(G19="TCPL",G19="PRACTICAL - UG",G19="PRACTICAL - PG"),'Paste here'!AJ19,"  -NA-  ")</f>
        <v xml:space="preserve">  -NA-  </v>
      </c>
      <c r="AY19" s="62" t="str">
        <f>IF(OR(G19="TCPL",G19="PRACTICAL - UG",G19="PRACTICAL - PG"),'Paste here'!M19,"  -NA-  ")</f>
        <v xml:space="preserve">  -NA-  </v>
      </c>
      <c r="AZ19" s="62" t="str">
        <f>IF(OR(G19="TCPL",G19="PRACTICAL - UG",G19="PRACTICAL - PG"),'Paste here'!N19,"  -NA-  ")</f>
        <v xml:space="preserve">  -NA-  </v>
      </c>
      <c r="BA19" s="62" t="str">
        <f>IF(OR(G19="TCPL",G19="PRACTICAL - UG",G19="PRACTICAL - PG"),Skilled!K19,"  -NA-  ")</f>
        <v xml:space="preserve">  -NA-  </v>
      </c>
      <c r="BB19" s="62" t="str">
        <f>IF(OR(G19="TCPL",G19="PRACTICAL - UG",G19="PRACTICAL - PG"),'Paste here'!AM19,"  -NA-  ")</f>
        <v xml:space="preserve">  -NA-  </v>
      </c>
      <c r="BC19" s="62" t="str">
        <f>UPPER(IF(OR(G19="TCPL",G19="PRACTICAL - UG",G19="PRACTICAL - PG"),'Paste here'!AN19,"  -NA-  "))</f>
        <v xml:space="preserve">  -NA-  </v>
      </c>
      <c r="BD19" s="62" t="str">
        <f>UPPER(IF(OR(G19="TCPL",G19="PRACTICAL - UG",G19="PRACTICAL - PG"),'Paste here'!AO19,"  -NA-  "))</f>
        <v xml:space="preserve">  -NA-  </v>
      </c>
      <c r="BE19" s="62" t="str">
        <f>UPPER(IF(OR(G19="TCPL",G19="PRACTICAL - UG",G19="PRACTICAL - PG"),'Paste here'!AP19,"  -NA-  "))</f>
        <v xml:space="preserve">  -NA-  </v>
      </c>
      <c r="BF19" s="62" t="str">
        <f>IF(OR(G19="TCPL",G19="PRACTICAL - UG",G19="PRACTICAL - PG"),Skilled!L19,"")</f>
        <v/>
      </c>
      <c r="BG19" s="63"/>
      <c r="BH19" s="62" t="str">
        <f>IF(OR(AG19="ENGLISH",AG19="MBA"),"",IF(OR(G19="PRACTICAL - UG",G19="PRACTICAL - PG"),'Paste here'!AQ19,""))</f>
        <v/>
      </c>
      <c r="BI19" s="62" t="str">
        <f>UPPER(IF(OR(G19="PRACTICAL - UG",G19="PRACTICAL - PG"),'Paste here'!AR19,"  -NA-  "))</f>
        <v xml:space="preserve">  -NA-  </v>
      </c>
      <c r="BJ19" s="62" t="str">
        <f>IF(OR(G19="PRACTICAL - UG",G19="PRACTICAL - PG"),'Paste here'!AT19,"  -NA-  ")</f>
        <v xml:space="preserve">  -NA-  </v>
      </c>
      <c r="BK19" s="62" t="str">
        <f t="shared" si="3"/>
        <v xml:space="preserve">  -NA-  </v>
      </c>
      <c r="BL19" s="62" t="str">
        <f>IF(OR(G19="PRACTICAL - UG",G19="PRACTICAL - PG"),'Paste here'!AS19,"  -NA-  ")</f>
        <v xml:space="preserve">  -NA-  </v>
      </c>
      <c r="BM19" s="62" t="str">
        <f>IF(OR(G19="PRACTICAL - UG",G19="PRACTICAL - PG"),'Paste here'!M19,"  -NA-  ")</f>
        <v xml:space="preserve">  -NA-  </v>
      </c>
      <c r="BN19" s="62" t="str">
        <f>IF(OR(G19="PRACTICAL - UG",G19="PRACTICAL - PG"),'Paste here'!N19,"  -NA-  ")</f>
        <v xml:space="preserve">  -NA-  </v>
      </c>
      <c r="BO19" s="62" t="str">
        <f>IF(OR(AG19="ENGLISH",AG19="MBA"),"",IF(OR(G19="PRACTICAL - UG",G19="PRACTICAL - PG"),Technician!J19,"  -NA-  "))</f>
        <v xml:space="preserve">  -NA-  </v>
      </c>
      <c r="BP19" s="62" t="str">
        <f>IF(OR(G19="PRACTICAL - UG",G19="PRACTICAL - PG"),'Paste here'!AU19,"  -NA-  ")</f>
        <v xml:space="preserve">  -NA-  </v>
      </c>
      <c r="BQ19" s="62" t="str">
        <f>UPPER(IF(OR(,G19="PRACTICAL - UG",G19="PRACTICAL - PG"),'Paste here'!AV19,"  -NA-  "))</f>
        <v xml:space="preserve">  -NA-  </v>
      </c>
      <c r="BR19" s="62" t="str">
        <f>UPPER(IF(OR(G19="PRACTICAL - UG",G19="PRACTICAL - PG"),'Paste here'!AW19,"  -NA-  "))</f>
        <v xml:space="preserve">  -NA-  </v>
      </c>
      <c r="BS19" s="62" t="str">
        <f>UPPER(IF(OR(G19="PRACTICAL - UG",G19="PRACTICAL - PG"),'Paste here'!AX19,"  -NA-  "))</f>
        <v xml:space="preserve">  -NA-  </v>
      </c>
      <c r="BT19" s="39" t="str">
        <f>IF(OR(AG19="ENGLISH",AG19="MBA"),"",IF(OR(G19="PRACTICAL - UG",G19="PRACTICAL - PG"),Technician!L19,""))</f>
        <v/>
      </c>
    </row>
    <row r="20" spans="1:72" s="13" customFormat="1" ht="19.899999999999999" customHeight="1" x14ac:dyDescent="0.25">
      <c r="A20" s="5">
        <f>'Paste here'!A20</f>
        <v>0</v>
      </c>
      <c r="B20" s="39">
        <f>'Paste here'!F20</f>
        <v>0</v>
      </c>
      <c r="C20" s="39">
        <f>'Paste here'!J20</f>
        <v>0</v>
      </c>
      <c r="D20" s="39">
        <f>'Paste here'!K20</f>
        <v>0</v>
      </c>
      <c r="E20" s="39" t="str">
        <f>UPPER('Paste here'!H20)</f>
        <v/>
      </c>
      <c r="F20" s="39">
        <f>'Paste here'!I20</f>
        <v>0</v>
      </c>
      <c r="G20" s="39">
        <f>'Paste here'!G20</f>
        <v>0</v>
      </c>
      <c r="H20" s="84">
        <f>'Paste here'!D20</f>
        <v>0</v>
      </c>
      <c r="I20" s="39">
        <f>'Paste here'!E20</f>
        <v>0</v>
      </c>
      <c r="J20" s="63"/>
      <c r="K20" s="39">
        <f>'Paste here'!O20</f>
        <v>0</v>
      </c>
      <c r="L20" s="67" t="str">
        <f>UPPER('Paste here'!P20)</f>
        <v/>
      </c>
      <c r="M20" s="39">
        <f>'Paste here'!S20</f>
        <v>0</v>
      </c>
      <c r="N20" s="39">
        <f>'Paste here'!R20</f>
        <v>0</v>
      </c>
      <c r="O20" s="39">
        <f>'Paste here'!T20</f>
        <v>0</v>
      </c>
      <c r="P20" s="5" t="e">
        <f>IF(VLOOKUP(O20,'Distance matrix'!B$2:C$238,2,FALSE)&lt;36,"&lt;35",VLOOKUP(O20,'Distance matrix'!B$2:C$238,2,FALSE))</f>
        <v>#N/A</v>
      </c>
      <c r="Q20" s="39">
        <f>'Paste here'!Q20</f>
        <v>0</v>
      </c>
      <c r="R20" s="39">
        <f>'Paste here'!M20</f>
        <v>0</v>
      </c>
      <c r="S20" s="39">
        <f>'Paste here'!N20</f>
        <v>0</v>
      </c>
      <c r="T20" s="65" t="e">
        <f>External!K20</f>
        <v>#N/A</v>
      </c>
      <c r="U20" s="62">
        <f>External!M20</f>
        <v>0</v>
      </c>
      <c r="V20" s="62">
        <f>External!L20</f>
        <v>0</v>
      </c>
      <c r="W20" s="62" t="e">
        <f>External!N20</f>
        <v>#N/A</v>
      </c>
      <c r="X20" s="39">
        <f>'Paste here'!U20</f>
        <v>0</v>
      </c>
      <c r="Y20" s="39" t="str">
        <f>UPPER('Paste here'!V20)</f>
        <v/>
      </c>
      <c r="Z20" s="39" t="str">
        <f>UPPER('Paste here'!W20)</f>
        <v/>
      </c>
      <c r="AA20" s="39" t="str">
        <f>UPPER('Paste here'!X20)</f>
        <v/>
      </c>
      <c r="AB20" s="39" t="e">
        <f>External!O20</f>
        <v>#VALUE!</v>
      </c>
      <c r="AC20" s="63"/>
      <c r="AD20" s="62">
        <f>'Paste here'!Y20</f>
        <v>0</v>
      </c>
      <c r="AE20" s="62" t="str">
        <f>UPPER('Paste here'!Z20)</f>
        <v/>
      </c>
      <c r="AF20" s="62">
        <f>'Paste here'!AC20</f>
        <v>0</v>
      </c>
      <c r="AG20" s="62">
        <f>'Paste here'!AB20</f>
        <v>0</v>
      </c>
      <c r="AH20" s="62" t="s">
        <v>47</v>
      </c>
      <c r="AI20" s="62">
        <f>'Paste here'!AA20</f>
        <v>0</v>
      </c>
      <c r="AJ20" s="62">
        <f>'Paste here'!M20</f>
        <v>0</v>
      </c>
      <c r="AK20" s="62">
        <f>'Paste here'!N20</f>
        <v>0</v>
      </c>
      <c r="AL20" s="62" t="e">
        <f>Internal!L20</f>
        <v>#N/A</v>
      </c>
      <c r="AM20" s="62">
        <f>'Paste here'!AD20</f>
        <v>0</v>
      </c>
      <c r="AN20" s="62" t="str">
        <f>UPPER('Paste here'!AE20)</f>
        <v/>
      </c>
      <c r="AO20" s="62" t="str">
        <f>UPPER('Paste here'!AF20)</f>
        <v/>
      </c>
      <c r="AP20" s="62" t="str">
        <f>UPPER('Paste here'!AG20)</f>
        <v/>
      </c>
      <c r="AQ20" s="62" t="e">
        <f>Internal!M20</f>
        <v>#VALUE!</v>
      </c>
      <c r="AR20" s="63"/>
      <c r="AS20" s="62" t="str">
        <f>IF(OR(G20="TCPL",G20="PRACTICAL - UG",G20="PRACTICAL - PG"),'Paste here'!AH20,"")</f>
        <v/>
      </c>
      <c r="AT20" s="62" t="str">
        <f>UPPER(IF(OR(G20="TCPL",G20="PRACTICAL - UG",G20="PRACTICAL - PG"),'Paste here'!AI20,"  -NA-  "))</f>
        <v xml:space="preserve">  -NA-  </v>
      </c>
      <c r="AU20" s="62" t="str">
        <f>IF(OR(G20="TCPL",G20="PRACTICAL - UG",G20="PRACTICAL - PG"),'Paste here'!AL20,"  -NA-  ")</f>
        <v xml:space="preserve">  -NA-  </v>
      </c>
      <c r="AV20" s="62" t="str">
        <f>IF(OR(G20="TCPL",G20="PRACTICAL - UG",G20="PRACTICAL - PG"),'Paste here'!AK20,"  -NA-  ")</f>
        <v xml:space="preserve">  -NA-  </v>
      </c>
      <c r="AW20" s="62" t="str">
        <f t="shared" si="2"/>
        <v xml:space="preserve">  -NA-  </v>
      </c>
      <c r="AX20" s="62" t="str">
        <f>IF(OR(G20="TCPL",G20="PRACTICAL - UG",G20="PRACTICAL - PG"),'Paste here'!AJ20,"  -NA-  ")</f>
        <v xml:space="preserve">  -NA-  </v>
      </c>
      <c r="AY20" s="62" t="str">
        <f>IF(OR(G20="TCPL",G20="PRACTICAL - UG",G20="PRACTICAL - PG"),'Paste here'!M20,"  -NA-  ")</f>
        <v xml:space="preserve">  -NA-  </v>
      </c>
      <c r="AZ20" s="62" t="str">
        <f>IF(OR(G20="TCPL",G20="PRACTICAL - UG",G20="PRACTICAL - PG"),'Paste here'!N20,"  -NA-  ")</f>
        <v xml:space="preserve">  -NA-  </v>
      </c>
      <c r="BA20" s="62" t="str">
        <f>IF(OR(G20="TCPL",G20="PRACTICAL - UG",G20="PRACTICAL - PG"),Skilled!K20,"  -NA-  ")</f>
        <v xml:space="preserve">  -NA-  </v>
      </c>
      <c r="BB20" s="62" t="str">
        <f>IF(OR(G20="TCPL",G20="PRACTICAL - UG",G20="PRACTICAL - PG"),'Paste here'!AM20,"  -NA-  ")</f>
        <v xml:space="preserve">  -NA-  </v>
      </c>
      <c r="BC20" s="62" t="str">
        <f>UPPER(IF(OR(G20="TCPL",G20="PRACTICAL - UG",G20="PRACTICAL - PG"),'Paste here'!AN20,"  -NA-  "))</f>
        <v xml:space="preserve">  -NA-  </v>
      </c>
      <c r="BD20" s="62" t="str">
        <f>UPPER(IF(OR(G20="TCPL",G20="PRACTICAL - UG",G20="PRACTICAL - PG"),'Paste here'!AO20,"  -NA-  "))</f>
        <v xml:space="preserve">  -NA-  </v>
      </c>
      <c r="BE20" s="62" t="str">
        <f>UPPER(IF(OR(G20="TCPL",G20="PRACTICAL - UG",G20="PRACTICAL - PG"),'Paste here'!AP20,"  -NA-  "))</f>
        <v xml:space="preserve">  -NA-  </v>
      </c>
      <c r="BF20" s="62" t="str">
        <f>IF(OR(G20="TCPL",G20="PRACTICAL - UG",G20="PRACTICAL - PG"),Skilled!L20,"")</f>
        <v/>
      </c>
      <c r="BG20" s="63"/>
      <c r="BH20" s="62" t="str">
        <f>IF(OR(AG20="ENGLISH",AG20="MBA"),"",IF(OR(G20="PRACTICAL - UG",G20="PRACTICAL - PG"),'Paste here'!AQ20,""))</f>
        <v/>
      </c>
      <c r="BI20" s="62" t="str">
        <f>UPPER(IF(OR(G20="PRACTICAL - UG",G20="PRACTICAL - PG"),'Paste here'!AR20,"  -NA-  "))</f>
        <v xml:space="preserve">  -NA-  </v>
      </c>
      <c r="BJ20" s="62" t="str">
        <f>IF(OR(G20="PRACTICAL - UG",G20="PRACTICAL - PG"),'Paste here'!AT20,"  -NA-  ")</f>
        <v xml:space="preserve">  -NA-  </v>
      </c>
      <c r="BK20" s="62" t="str">
        <f t="shared" si="3"/>
        <v xml:space="preserve">  -NA-  </v>
      </c>
      <c r="BL20" s="62" t="str">
        <f>IF(OR(G20="PRACTICAL - UG",G20="PRACTICAL - PG"),'Paste here'!AS20,"  -NA-  ")</f>
        <v xml:space="preserve">  -NA-  </v>
      </c>
      <c r="BM20" s="62" t="str">
        <f>IF(OR(G20="PRACTICAL - UG",G20="PRACTICAL - PG"),'Paste here'!M20,"  -NA-  ")</f>
        <v xml:space="preserve">  -NA-  </v>
      </c>
      <c r="BN20" s="62" t="str">
        <f>IF(OR(G20="PRACTICAL - UG",G20="PRACTICAL - PG"),'Paste here'!N20,"  -NA-  ")</f>
        <v xml:space="preserve">  -NA-  </v>
      </c>
      <c r="BO20" s="62" t="str">
        <f>IF(OR(AG20="ENGLISH",AG20="MBA"),"",IF(OR(G20="PRACTICAL - UG",G20="PRACTICAL - PG"),Technician!J20,"  -NA-  "))</f>
        <v xml:space="preserve">  -NA-  </v>
      </c>
      <c r="BP20" s="62" t="str">
        <f>IF(OR(G20="PRACTICAL - UG",G20="PRACTICAL - PG"),'Paste here'!AU20,"  -NA-  ")</f>
        <v xml:space="preserve">  -NA-  </v>
      </c>
      <c r="BQ20" s="62" t="str">
        <f>UPPER(IF(OR(,G20="PRACTICAL - UG",G20="PRACTICAL - PG"),'Paste here'!AV20,"  -NA-  "))</f>
        <v xml:space="preserve">  -NA-  </v>
      </c>
      <c r="BR20" s="62" t="str">
        <f>UPPER(IF(OR(G20="PRACTICAL - UG",G20="PRACTICAL - PG"),'Paste here'!AW20,"  -NA-  "))</f>
        <v xml:space="preserve">  -NA-  </v>
      </c>
      <c r="BS20" s="62" t="str">
        <f>UPPER(IF(OR(G20="PRACTICAL - UG",G20="PRACTICAL - PG"),'Paste here'!AX20,"  -NA-  "))</f>
        <v xml:space="preserve">  -NA-  </v>
      </c>
      <c r="BT20" s="39" t="str">
        <f>IF(OR(AG20="ENGLISH",AG20="MBA"),"",IF(OR(G20="PRACTICAL - UG",G20="PRACTICAL - PG"),Technician!L20,""))</f>
        <v/>
      </c>
    </row>
    <row r="21" spans="1:72" s="13" customFormat="1" ht="19.899999999999999" customHeight="1" x14ac:dyDescent="0.25">
      <c r="A21" s="5">
        <f>'Paste here'!A21</f>
        <v>0</v>
      </c>
      <c r="B21" s="39">
        <f>'Paste here'!F21</f>
        <v>0</v>
      </c>
      <c r="C21" s="39">
        <f>'Paste here'!J21</f>
        <v>0</v>
      </c>
      <c r="D21" s="39">
        <f>'Paste here'!K21</f>
        <v>0</v>
      </c>
      <c r="E21" s="39" t="str">
        <f>UPPER('Paste here'!H21)</f>
        <v/>
      </c>
      <c r="F21" s="39">
        <f>'Paste here'!I21</f>
        <v>0</v>
      </c>
      <c r="G21" s="39">
        <f>'Paste here'!G21</f>
        <v>0</v>
      </c>
      <c r="H21" s="84">
        <f>'Paste here'!D21</f>
        <v>0</v>
      </c>
      <c r="I21" s="39">
        <f>'Paste here'!E21</f>
        <v>0</v>
      </c>
      <c r="J21" s="63"/>
      <c r="K21" s="39">
        <f>'Paste here'!O21</f>
        <v>0</v>
      </c>
      <c r="L21" s="67" t="str">
        <f>UPPER('Paste here'!P21)</f>
        <v/>
      </c>
      <c r="M21" s="39">
        <f>'Paste here'!S21</f>
        <v>0</v>
      </c>
      <c r="N21" s="39">
        <f>'Paste here'!R21</f>
        <v>0</v>
      </c>
      <c r="O21" s="39">
        <f>'Paste here'!T21</f>
        <v>0</v>
      </c>
      <c r="P21" s="5" t="e">
        <f>IF(VLOOKUP(O21,'Distance matrix'!B$2:C$238,2,FALSE)&lt;36,"&lt;35",VLOOKUP(O21,'Distance matrix'!B$2:C$238,2,FALSE))</f>
        <v>#N/A</v>
      </c>
      <c r="Q21" s="39">
        <f>'Paste here'!Q21</f>
        <v>0</v>
      </c>
      <c r="R21" s="39">
        <f>'Paste here'!M21</f>
        <v>0</v>
      </c>
      <c r="S21" s="39">
        <f>'Paste here'!N21</f>
        <v>0</v>
      </c>
      <c r="T21" s="65" t="e">
        <f>External!K21</f>
        <v>#N/A</v>
      </c>
      <c r="U21" s="62">
        <f>External!M21</f>
        <v>0</v>
      </c>
      <c r="V21" s="62">
        <f>External!L21</f>
        <v>0</v>
      </c>
      <c r="W21" s="62" t="e">
        <f>External!N21</f>
        <v>#N/A</v>
      </c>
      <c r="X21" s="39">
        <f>'Paste here'!U21</f>
        <v>0</v>
      </c>
      <c r="Y21" s="39" t="str">
        <f>UPPER('Paste here'!V21)</f>
        <v/>
      </c>
      <c r="Z21" s="39" t="str">
        <f>UPPER('Paste here'!W21)</f>
        <v/>
      </c>
      <c r="AA21" s="39" t="str">
        <f>UPPER('Paste here'!X21)</f>
        <v/>
      </c>
      <c r="AB21" s="39" t="e">
        <f>External!O21</f>
        <v>#VALUE!</v>
      </c>
      <c r="AC21" s="63"/>
      <c r="AD21" s="62">
        <f>'Paste here'!Y21</f>
        <v>0</v>
      </c>
      <c r="AE21" s="62" t="str">
        <f>UPPER('Paste here'!Z21)</f>
        <v/>
      </c>
      <c r="AF21" s="62">
        <f>'Paste here'!AC21</f>
        <v>0</v>
      </c>
      <c r="AG21" s="62">
        <f>'Paste here'!AB21</f>
        <v>0</v>
      </c>
      <c r="AH21" s="62" t="s">
        <v>47</v>
      </c>
      <c r="AI21" s="62">
        <f>'Paste here'!AA21</f>
        <v>0</v>
      </c>
      <c r="AJ21" s="62">
        <f>'Paste here'!M21</f>
        <v>0</v>
      </c>
      <c r="AK21" s="62">
        <f>'Paste here'!N21</f>
        <v>0</v>
      </c>
      <c r="AL21" s="62" t="e">
        <f>Internal!L21</f>
        <v>#N/A</v>
      </c>
      <c r="AM21" s="62">
        <f>'Paste here'!AD21</f>
        <v>0</v>
      </c>
      <c r="AN21" s="62" t="str">
        <f>UPPER('Paste here'!AE21)</f>
        <v/>
      </c>
      <c r="AO21" s="62" t="str">
        <f>UPPER('Paste here'!AF21)</f>
        <v/>
      </c>
      <c r="AP21" s="62" t="str">
        <f>UPPER('Paste here'!AG21)</f>
        <v/>
      </c>
      <c r="AQ21" s="62" t="e">
        <f>Internal!M21</f>
        <v>#VALUE!</v>
      </c>
      <c r="AR21" s="63"/>
      <c r="AS21" s="62" t="str">
        <f>IF(OR(G21="TCPL",G21="PRACTICAL - UG",G21="PRACTICAL - PG"),'Paste here'!AH21,"")</f>
        <v/>
      </c>
      <c r="AT21" s="62" t="str">
        <f>UPPER(IF(OR(G21="TCPL",G21="PRACTICAL - UG",G21="PRACTICAL - PG"),'Paste here'!AI21,"  -NA-  "))</f>
        <v xml:space="preserve">  -NA-  </v>
      </c>
      <c r="AU21" s="62" t="str">
        <f>IF(OR(G21="TCPL",G21="PRACTICAL - UG",G21="PRACTICAL - PG"),'Paste here'!AL21,"  -NA-  ")</f>
        <v xml:space="preserve">  -NA-  </v>
      </c>
      <c r="AV21" s="62" t="str">
        <f>IF(OR(G21="TCPL",G21="PRACTICAL - UG",G21="PRACTICAL - PG"),'Paste here'!AK21,"  -NA-  ")</f>
        <v xml:space="preserve">  -NA-  </v>
      </c>
      <c r="AW21" s="62" t="str">
        <f t="shared" si="2"/>
        <v xml:space="preserve">  -NA-  </v>
      </c>
      <c r="AX21" s="62" t="str">
        <f>IF(OR(G21="TCPL",G21="PRACTICAL - UG",G21="PRACTICAL - PG"),'Paste here'!AJ21,"  -NA-  ")</f>
        <v xml:space="preserve">  -NA-  </v>
      </c>
      <c r="AY21" s="62" t="str">
        <f>IF(OR(G21="TCPL",G21="PRACTICAL - UG",G21="PRACTICAL - PG"),'Paste here'!M21,"  -NA-  ")</f>
        <v xml:space="preserve">  -NA-  </v>
      </c>
      <c r="AZ21" s="62" t="str">
        <f>IF(OR(G21="TCPL",G21="PRACTICAL - UG",G21="PRACTICAL - PG"),'Paste here'!N21,"  -NA-  ")</f>
        <v xml:space="preserve">  -NA-  </v>
      </c>
      <c r="BA21" s="62" t="str">
        <f>IF(OR(G21="TCPL",G21="PRACTICAL - UG",G21="PRACTICAL - PG"),Skilled!K21,"  -NA-  ")</f>
        <v xml:space="preserve">  -NA-  </v>
      </c>
      <c r="BB21" s="62" t="str">
        <f>IF(OR(G21="TCPL",G21="PRACTICAL - UG",G21="PRACTICAL - PG"),'Paste here'!AM21,"  -NA-  ")</f>
        <v xml:space="preserve">  -NA-  </v>
      </c>
      <c r="BC21" s="62" t="str">
        <f>UPPER(IF(OR(G21="TCPL",G21="PRACTICAL - UG",G21="PRACTICAL - PG"),'Paste here'!AN21,"  -NA-  "))</f>
        <v xml:space="preserve">  -NA-  </v>
      </c>
      <c r="BD21" s="62" t="str">
        <f>UPPER(IF(OR(G21="TCPL",G21="PRACTICAL - UG",G21="PRACTICAL - PG"),'Paste here'!AO21,"  -NA-  "))</f>
        <v xml:space="preserve">  -NA-  </v>
      </c>
      <c r="BE21" s="62" t="str">
        <f>UPPER(IF(OR(G21="TCPL",G21="PRACTICAL - UG",G21="PRACTICAL - PG"),'Paste here'!AP21,"  -NA-  "))</f>
        <v xml:space="preserve">  -NA-  </v>
      </c>
      <c r="BF21" s="62" t="str">
        <f>IF(OR(G21="TCPL",G21="PRACTICAL - UG",G21="PRACTICAL - PG"),Skilled!L21,"")</f>
        <v/>
      </c>
      <c r="BG21" s="63"/>
      <c r="BH21" s="62" t="str">
        <f>IF(OR(AG21="ENGLISH",AG21="MBA"),"",IF(OR(G21="PRACTICAL - UG",G21="PRACTICAL - PG"),'Paste here'!AQ21,""))</f>
        <v/>
      </c>
      <c r="BI21" s="62" t="str">
        <f>UPPER(IF(OR(G21="PRACTICAL - UG",G21="PRACTICAL - PG"),'Paste here'!AR21,"  -NA-  "))</f>
        <v xml:space="preserve">  -NA-  </v>
      </c>
      <c r="BJ21" s="62" t="str">
        <f>IF(OR(G21="PRACTICAL - UG",G21="PRACTICAL - PG"),'Paste here'!AT21,"  -NA-  ")</f>
        <v xml:space="preserve">  -NA-  </v>
      </c>
      <c r="BK21" s="62" t="str">
        <f t="shared" si="3"/>
        <v xml:space="preserve">  -NA-  </v>
      </c>
      <c r="BL21" s="62" t="str">
        <f>IF(OR(G21="PRACTICAL - UG",G21="PRACTICAL - PG"),'Paste here'!AS21,"  -NA-  ")</f>
        <v xml:space="preserve">  -NA-  </v>
      </c>
      <c r="BM21" s="62" t="str">
        <f>IF(OR(G21="PRACTICAL - UG",G21="PRACTICAL - PG"),'Paste here'!M21,"  -NA-  ")</f>
        <v xml:space="preserve">  -NA-  </v>
      </c>
      <c r="BN21" s="62" t="str">
        <f>IF(OR(G21="PRACTICAL - UG",G21="PRACTICAL - PG"),'Paste here'!N21,"  -NA-  ")</f>
        <v xml:space="preserve">  -NA-  </v>
      </c>
      <c r="BO21" s="62" t="str">
        <f>IF(OR(AG21="ENGLISH",AG21="MBA"),"",IF(OR(G21="PRACTICAL - UG",G21="PRACTICAL - PG"),Technician!J21,"  -NA-  "))</f>
        <v xml:space="preserve">  -NA-  </v>
      </c>
      <c r="BP21" s="62" t="str">
        <f>IF(OR(G21="PRACTICAL - UG",G21="PRACTICAL - PG"),'Paste here'!AU21,"  -NA-  ")</f>
        <v xml:space="preserve">  -NA-  </v>
      </c>
      <c r="BQ21" s="62" t="str">
        <f>UPPER(IF(OR(,G21="PRACTICAL - UG",G21="PRACTICAL - PG"),'Paste here'!AV21,"  -NA-  "))</f>
        <v xml:space="preserve">  -NA-  </v>
      </c>
      <c r="BR21" s="62" t="str">
        <f>UPPER(IF(OR(G21="PRACTICAL - UG",G21="PRACTICAL - PG"),'Paste here'!AW21,"  -NA-  "))</f>
        <v xml:space="preserve">  -NA-  </v>
      </c>
      <c r="BS21" s="62" t="str">
        <f>UPPER(IF(OR(G21="PRACTICAL - UG",G21="PRACTICAL - PG"),'Paste here'!AX21,"  -NA-  "))</f>
        <v xml:space="preserve">  -NA-  </v>
      </c>
      <c r="BT21" s="39" t="str">
        <f>IF(OR(AG21="ENGLISH",AG21="MBA"),"",IF(OR(G21="PRACTICAL - UG",G21="PRACTICAL - PG"),Technician!L21,""))</f>
        <v/>
      </c>
    </row>
    <row r="22" spans="1:72" s="13" customFormat="1" ht="19.899999999999999" customHeight="1" x14ac:dyDescent="0.25">
      <c r="A22" s="5">
        <f>'Paste here'!A22</f>
        <v>0</v>
      </c>
      <c r="B22" s="39">
        <f>'Paste here'!F22</f>
        <v>0</v>
      </c>
      <c r="C22" s="39">
        <f>'Paste here'!J22</f>
        <v>0</v>
      </c>
      <c r="D22" s="39">
        <f>'Paste here'!K22</f>
        <v>0</v>
      </c>
      <c r="E22" s="39" t="str">
        <f>UPPER('Paste here'!H22)</f>
        <v/>
      </c>
      <c r="F22" s="39">
        <f>'Paste here'!I22</f>
        <v>0</v>
      </c>
      <c r="G22" s="39">
        <f>'Paste here'!G22</f>
        <v>0</v>
      </c>
      <c r="H22" s="84">
        <f>'Paste here'!D22</f>
        <v>0</v>
      </c>
      <c r="I22" s="39">
        <f>'Paste here'!E22</f>
        <v>0</v>
      </c>
      <c r="J22" s="63"/>
      <c r="K22" s="39">
        <f>'Paste here'!O22</f>
        <v>0</v>
      </c>
      <c r="L22" s="67" t="str">
        <f>UPPER('Paste here'!P22)</f>
        <v/>
      </c>
      <c r="M22" s="39">
        <f>'Paste here'!S22</f>
        <v>0</v>
      </c>
      <c r="N22" s="39">
        <f>'Paste here'!R22</f>
        <v>0</v>
      </c>
      <c r="O22" s="39">
        <f>'Paste here'!T22</f>
        <v>0</v>
      </c>
      <c r="P22" s="5" t="e">
        <f>IF(VLOOKUP(O22,'Distance matrix'!B$2:C$238,2,FALSE)&lt;36,"&lt;35",VLOOKUP(O22,'Distance matrix'!B$2:C$238,2,FALSE))</f>
        <v>#N/A</v>
      </c>
      <c r="Q22" s="39">
        <f>'Paste here'!Q22</f>
        <v>0</v>
      </c>
      <c r="R22" s="39">
        <f>'Paste here'!M22</f>
        <v>0</v>
      </c>
      <c r="S22" s="39">
        <f>'Paste here'!N22</f>
        <v>0</v>
      </c>
      <c r="T22" s="65" t="e">
        <f>External!K22</f>
        <v>#N/A</v>
      </c>
      <c r="U22" s="62">
        <f>External!M22</f>
        <v>0</v>
      </c>
      <c r="V22" s="62">
        <f>External!L22</f>
        <v>0</v>
      </c>
      <c r="W22" s="62" t="e">
        <f>External!N22</f>
        <v>#N/A</v>
      </c>
      <c r="X22" s="39">
        <f>'Paste here'!U22</f>
        <v>0</v>
      </c>
      <c r="Y22" s="39" t="str">
        <f>UPPER('Paste here'!V22)</f>
        <v/>
      </c>
      <c r="Z22" s="39" t="str">
        <f>UPPER('Paste here'!W22)</f>
        <v/>
      </c>
      <c r="AA22" s="39" t="str">
        <f>UPPER('Paste here'!X22)</f>
        <v/>
      </c>
      <c r="AB22" s="39" t="e">
        <f>External!O22</f>
        <v>#VALUE!</v>
      </c>
      <c r="AC22" s="63"/>
      <c r="AD22" s="62">
        <f>'Paste here'!Y22</f>
        <v>0</v>
      </c>
      <c r="AE22" s="62" t="str">
        <f>UPPER('Paste here'!Z22)</f>
        <v/>
      </c>
      <c r="AF22" s="62">
        <f>'Paste here'!AC22</f>
        <v>0</v>
      </c>
      <c r="AG22" s="62">
        <f>'Paste here'!AB22</f>
        <v>0</v>
      </c>
      <c r="AH22" s="62" t="s">
        <v>47</v>
      </c>
      <c r="AI22" s="62">
        <f>'Paste here'!AA22</f>
        <v>0</v>
      </c>
      <c r="AJ22" s="62">
        <f>'Paste here'!M22</f>
        <v>0</v>
      </c>
      <c r="AK22" s="62">
        <f>'Paste here'!N22</f>
        <v>0</v>
      </c>
      <c r="AL22" s="62" t="e">
        <f>Internal!L22</f>
        <v>#N/A</v>
      </c>
      <c r="AM22" s="62">
        <f>'Paste here'!AD22</f>
        <v>0</v>
      </c>
      <c r="AN22" s="62" t="str">
        <f>UPPER('Paste here'!AE22)</f>
        <v/>
      </c>
      <c r="AO22" s="62" t="str">
        <f>UPPER('Paste here'!AF22)</f>
        <v/>
      </c>
      <c r="AP22" s="62" t="str">
        <f>UPPER('Paste here'!AG22)</f>
        <v/>
      </c>
      <c r="AQ22" s="62" t="e">
        <f>Internal!M22</f>
        <v>#VALUE!</v>
      </c>
      <c r="AR22" s="63"/>
      <c r="AS22" s="62" t="str">
        <f>IF(OR(G22="TCPL",G22="PRACTICAL - UG",G22="PRACTICAL - PG"),'Paste here'!AH22,"")</f>
        <v/>
      </c>
      <c r="AT22" s="62" t="str">
        <f>UPPER(IF(OR(G22="TCPL",G22="PRACTICAL - UG",G22="PRACTICAL - PG"),'Paste here'!AI22,"  -NA-  "))</f>
        <v xml:space="preserve">  -NA-  </v>
      </c>
      <c r="AU22" s="62" t="str">
        <f>IF(OR(G22="TCPL",G22="PRACTICAL - UG",G22="PRACTICAL - PG"),'Paste here'!AL22,"  -NA-  ")</f>
        <v xml:space="preserve">  -NA-  </v>
      </c>
      <c r="AV22" s="62" t="str">
        <f>IF(OR(G22="TCPL",G22="PRACTICAL - UG",G22="PRACTICAL - PG"),'Paste here'!AK22,"  -NA-  ")</f>
        <v xml:space="preserve">  -NA-  </v>
      </c>
      <c r="AW22" s="62" t="str">
        <f t="shared" si="2"/>
        <v xml:space="preserve">  -NA-  </v>
      </c>
      <c r="AX22" s="62" t="str">
        <f>IF(OR(G22="TCPL",G22="PRACTICAL - UG",G22="PRACTICAL - PG"),'Paste here'!AJ22,"  -NA-  ")</f>
        <v xml:space="preserve">  -NA-  </v>
      </c>
      <c r="AY22" s="62" t="str">
        <f>IF(OR(G22="TCPL",G22="PRACTICAL - UG",G22="PRACTICAL - PG"),'Paste here'!M22,"  -NA-  ")</f>
        <v xml:space="preserve">  -NA-  </v>
      </c>
      <c r="AZ22" s="62" t="str">
        <f>IF(OR(G22="TCPL",G22="PRACTICAL - UG",G22="PRACTICAL - PG"),'Paste here'!N22,"  -NA-  ")</f>
        <v xml:space="preserve">  -NA-  </v>
      </c>
      <c r="BA22" s="62" t="str">
        <f>IF(OR(G22="TCPL",G22="PRACTICAL - UG",G22="PRACTICAL - PG"),Skilled!K22,"  -NA-  ")</f>
        <v xml:space="preserve">  -NA-  </v>
      </c>
      <c r="BB22" s="62" t="str">
        <f>IF(OR(G22="TCPL",G22="PRACTICAL - UG",G22="PRACTICAL - PG"),'Paste here'!AM22,"  -NA-  ")</f>
        <v xml:space="preserve">  -NA-  </v>
      </c>
      <c r="BC22" s="62" t="str">
        <f>UPPER(IF(OR(G22="TCPL",G22="PRACTICAL - UG",G22="PRACTICAL - PG"),'Paste here'!AN22,"  -NA-  "))</f>
        <v xml:space="preserve">  -NA-  </v>
      </c>
      <c r="BD22" s="62" t="str">
        <f>UPPER(IF(OR(G22="TCPL",G22="PRACTICAL - UG",G22="PRACTICAL - PG"),'Paste here'!AO22,"  -NA-  "))</f>
        <v xml:space="preserve">  -NA-  </v>
      </c>
      <c r="BE22" s="62" t="str">
        <f>UPPER(IF(OR(G22="TCPL",G22="PRACTICAL - UG",G22="PRACTICAL - PG"),'Paste here'!AP22,"  -NA-  "))</f>
        <v xml:space="preserve">  -NA-  </v>
      </c>
      <c r="BF22" s="62" t="str">
        <f>IF(OR(G22="TCPL",G22="PRACTICAL - UG",G22="PRACTICAL - PG"),Skilled!L22,"")</f>
        <v/>
      </c>
      <c r="BG22" s="63"/>
      <c r="BH22" s="62" t="str">
        <f>IF(OR(AG22="ENGLISH",AG22="MBA"),"",IF(OR(G22="PRACTICAL - UG",G22="PRACTICAL - PG"),'Paste here'!AQ22,""))</f>
        <v/>
      </c>
      <c r="BI22" s="62" t="str">
        <f>UPPER(IF(OR(G22="PRACTICAL - UG",G22="PRACTICAL - PG"),'Paste here'!AR22,"  -NA-  "))</f>
        <v xml:space="preserve">  -NA-  </v>
      </c>
      <c r="BJ22" s="62" t="str">
        <f>IF(OR(G22="PRACTICAL - UG",G22="PRACTICAL - PG"),'Paste here'!AT22,"  -NA-  ")</f>
        <v xml:space="preserve">  -NA-  </v>
      </c>
      <c r="BK22" s="62" t="str">
        <f t="shared" si="3"/>
        <v xml:space="preserve">  -NA-  </v>
      </c>
      <c r="BL22" s="62" t="str">
        <f>IF(OR(G22="PRACTICAL - UG",G22="PRACTICAL - PG"),'Paste here'!AS22,"  -NA-  ")</f>
        <v xml:space="preserve">  -NA-  </v>
      </c>
      <c r="BM22" s="62" t="str">
        <f>IF(OR(G22="PRACTICAL - UG",G22="PRACTICAL - PG"),'Paste here'!M22,"  -NA-  ")</f>
        <v xml:space="preserve">  -NA-  </v>
      </c>
      <c r="BN22" s="62" t="str">
        <f>IF(OR(G22="PRACTICAL - UG",G22="PRACTICAL - PG"),'Paste here'!N22,"  -NA-  ")</f>
        <v xml:space="preserve">  -NA-  </v>
      </c>
      <c r="BO22" s="62" t="str">
        <f>IF(OR(AG22="ENGLISH",AG22="MBA"),"",IF(OR(G22="PRACTICAL - UG",G22="PRACTICAL - PG"),Technician!J22,"  -NA-  "))</f>
        <v xml:space="preserve">  -NA-  </v>
      </c>
      <c r="BP22" s="62" t="str">
        <f>IF(OR(G22="PRACTICAL - UG",G22="PRACTICAL - PG"),'Paste here'!AU22,"  -NA-  ")</f>
        <v xml:space="preserve">  -NA-  </v>
      </c>
      <c r="BQ22" s="62" t="str">
        <f>UPPER(IF(OR(,G22="PRACTICAL - UG",G22="PRACTICAL - PG"),'Paste here'!AV22,"  -NA-  "))</f>
        <v xml:space="preserve">  -NA-  </v>
      </c>
      <c r="BR22" s="62" t="str">
        <f>UPPER(IF(OR(G22="PRACTICAL - UG",G22="PRACTICAL - PG"),'Paste here'!AW22,"  -NA-  "))</f>
        <v xml:space="preserve">  -NA-  </v>
      </c>
      <c r="BS22" s="62" t="str">
        <f>UPPER(IF(OR(G22="PRACTICAL - UG",G22="PRACTICAL - PG"),'Paste here'!AX22,"  -NA-  "))</f>
        <v xml:space="preserve">  -NA-  </v>
      </c>
      <c r="BT22" s="39" t="str">
        <f>IF(OR(AG22="ENGLISH",AG22="MBA"),"",IF(OR(G22="PRACTICAL - UG",G22="PRACTICAL - PG"),Technician!L22,""))</f>
        <v/>
      </c>
    </row>
    <row r="23" spans="1:72" s="13" customFormat="1" ht="19.899999999999999" customHeight="1" x14ac:dyDescent="0.25">
      <c r="A23" s="5">
        <f>'Paste here'!A23</f>
        <v>0</v>
      </c>
      <c r="B23" s="39">
        <f>'Paste here'!F23</f>
        <v>0</v>
      </c>
      <c r="C23" s="39">
        <f>'Paste here'!J23</f>
        <v>0</v>
      </c>
      <c r="D23" s="39">
        <f>'Paste here'!K23</f>
        <v>0</v>
      </c>
      <c r="E23" s="39" t="str">
        <f>UPPER('Paste here'!H23)</f>
        <v/>
      </c>
      <c r="F23" s="39">
        <f>'Paste here'!I23</f>
        <v>0</v>
      </c>
      <c r="G23" s="39">
        <f>'Paste here'!G23</f>
        <v>0</v>
      </c>
      <c r="H23" s="84">
        <f>'Paste here'!D23</f>
        <v>0</v>
      </c>
      <c r="I23" s="39">
        <f>'Paste here'!E23</f>
        <v>0</v>
      </c>
      <c r="J23" s="63"/>
      <c r="K23" s="39">
        <f>'Paste here'!O23</f>
        <v>0</v>
      </c>
      <c r="L23" s="67" t="str">
        <f>UPPER('Paste here'!P23)</f>
        <v/>
      </c>
      <c r="M23" s="39">
        <f>'Paste here'!S23</f>
        <v>0</v>
      </c>
      <c r="N23" s="39">
        <f>'Paste here'!R23</f>
        <v>0</v>
      </c>
      <c r="O23" s="39">
        <f>'Paste here'!T23</f>
        <v>0</v>
      </c>
      <c r="P23" s="5" t="e">
        <f>IF(VLOOKUP(O23,'Distance matrix'!B$2:C$238,2,FALSE)&lt;36,"&lt;35",VLOOKUP(O23,'Distance matrix'!B$2:C$238,2,FALSE))</f>
        <v>#N/A</v>
      </c>
      <c r="Q23" s="39">
        <f>'Paste here'!Q23</f>
        <v>0</v>
      </c>
      <c r="R23" s="39">
        <f>'Paste here'!M23</f>
        <v>0</v>
      </c>
      <c r="S23" s="39">
        <f>'Paste here'!N23</f>
        <v>0</v>
      </c>
      <c r="T23" s="65" t="e">
        <f>External!K23</f>
        <v>#N/A</v>
      </c>
      <c r="U23" s="62">
        <f>External!M23</f>
        <v>0</v>
      </c>
      <c r="V23" s="62">
        <f>External!L23</f>
        <v>0</v>
      </c>
      <c r="W23" s="62" t="e">
        <f>External!N23</f>
        <v>#N/A</v>
      </c>
      <c r="X23" s="39">
        <f>'Paste here'!U23</f>
        <v>0</v>
      </c>
      <c r="Y23" s="39" t="str">
        <f>UPPER('Paste here'!V23)</f>
        <v/>
      </c>
      <c r="Z23" s="39" t="str">
        <f>UPPER('Paste here'!W23)</f>
        <v/>
      </c>
      <c r="AA23" s="39" t="str">
        <f>UPPER('Paste here'!X23)</f>
        <v/>
      </c>
      <c r="AB23" s="39" t="e">
        <f>External!O23</f>
        <v>#VALUE!</v>
      </c>
      <c r="AC23" s="63"/>
      <c r="AD23" s="62">
        <f>'Paste here'!Y23</f>
        <v>0</v>
      </c>
      <c r="AE23" s="62" t="str">
        <f>UPPER('Paste here'!Z23)</f>
        <v/>
      </c>
      <c r="AF23" s="62">
        <f>'Paste here'!AC23</f>
        <v>0</v>
      </c>
      <c r="AG23" s="62">
        <f>'Paste here'!AB23</f>
        <v>0</v>
      </c>
      <c r="AH23" s="62" t="s">
        <v>47</v>
      </c>
      <c r="AI23" s="62">
        <f>'Paste here'!AA23</f>
        <v>0</v>
      </c>
      <c r="AJ23" s="62">
        <f>'Paste here'!M23</f>
        <v>0</v>
      </c>
      <c r="AK23" s="62">
        <f>'Paste here'!N23</f>
        <v>0</v>
      </c>
      <c r="AL23" s="62" t="e">
        <f>Internal!L23</f>
        <v>#N/A</v>
      </c>
      <c r="AM23" s="62">
        <f>'Paste here'!AD23</f>
        <v>0</v>
      </c>
      <c r="AN23" s="62" t="str">
        <f>UPPER('Paste here'!AE23)</f>
        <v/>
      </c>
      <c r="AO23" s="62" t="str">
        <f>UPPER('Paste here'!AF23)</f>
        <v/>
      </c>
      <c r="AP23" s="62" t="str">
        <f>UPPER('Paste here'!AG23)</f>
        <v/>
      </c>
      <c r="AQ23" s="62" t="e">
        <f>Internal!M23</f>
        <v>#VALUE!</v>
      </c>
      <c r="AR23" s="63"/>
      <c r="AS23" s="62" t="str">
        <f>IF(OR(G23="TCPL",G23="PRACTICAL - UG",G23="PRACTICAL - PG"),'Paste here'!AH23,"")</f>
        <v/>
      </c>
      <c r="AT23" s="62" t="str">
        <f>UPPER(IF(OR(G23="TCPL",G23="PRACTICAL - UG",G23="PRACTICAL - PG"),'Paste here'!AI23,"  -NA-  "))</f>
        <v xml:space="preserve">  -NA-  </v>
      </c>
      <c r="AU23" s="62" t="str">
        <f>IF(OR(G23="TCPL",G23="PRACTICAL - UG",G23="PRACTICAL - PG"),'Paste here'!AL23,"  -NA-  ")</f>
        <v xml:space="preserve">  -NA-  </v>
      </c>
      <c r="AV23" s="62" t="str">
        <f>IF(OR(G23="TCPL",G23="PRACTICAL - UG",G23="PRACTICAL - PG"),'Paste here'!AK23,"  -NA-  ")</f>
        <v xml:space="preserve">  -NA-  </v>
      </c>
      <c r="AW23" s="62" t="str">
        <f t="shared" si="2"/>
        <v xml:space="preserve">  -NA-  </v>
      </c>
      <c r="AX23" s="62" t="str">
        <f>IF(OR(G23="TCPL",G23="PRACTICAL - UG",G23="PRACTICAL - PG"),'Paste here'!AJ23,"  -NA-  ")</f>
        <v xml:space="preserve">  -NA-  </v>
      </c>
      <c r="AY23" s="62" t="str">
        <f>IF(OR(G23="TCPL",G23="PRACTICAL - UG",G23="PRACTICAL - PG"),'Paste here'!M23,"  -NA-  ")</f>
        <v xml:space="preserve">  -NA-  </v>
      </c>
      <c r="AZ23" s="62" t="str">
        <f>IF(OR(G23="TCPL",G23="PRACTICAL - UG",G23="PRACTICAL - PG"),'Paste here'!N23,"  -NA-  ")</f>
        <v xml:space="preserve">  -NA-  </v>
      </c>
      <c r="BA23" s="62" t="str">
        <f>IF(OR(G23="TCPL",G23="PRACTICAL - UG",G23="PRACTICAL - PG"),Skilled!K23,"  -NA-  ")</f>
        <v xml:space="preserve">  -NA-  </v>
      </c>
      <c r="BB23" s="62" t="str">
        <f>IF(OR(G23="TCPL",G23="PRACTICAL - UG",G23="PRACTICAL - PG"),'Paste here'!AM23,"  -NA-  ")</f>
        <v xml:space="preserve">  -NA-  </v>
      </c>
      <c r="BC23" s="62" t="str">
        <f>UPPER(IF(OR(G23="TCPL",G23="PRACTICAL - UG",G23="PRACTICAL - PG"),'Paste here'!AN23,"  -NA-  "))</f>
        <v xml:space="preserve">  -NA-  </v>
      </c>
      <c r="BD23" s="62" t="str">
        <f>UPPER(IF(OR(G23="TCPL",G23="PRACTICAL - UG",G23="PRACTICAL - PG"),'Paste here'!AO23,"  -NA-  "))</f>
        <v xml:space="preserve">  -NA-  </v>
      </c>
      <c r="BE23" s="62" t="str">
        <f>UPPER(IF(OR(G23="TCPL",G23="PRACTICAL - UG",G23="PRACTICAL - PG"),'Paste here'!AP23,"  -NA-  "))</f>
        <v xml:space="preserve">  -NA-  </v>
      </c>
      <c r="BF23" s="62" t="str">
        <f>IF(OR(G23="TCPL",G23="PRACTICAL - UG",G23="PRACTICAL - PG"),Skilled!L23,"")</f>
        <v/>
      </c>
      <c r="BG23" s="63"/>
      <c r="BH23" s="62" t="str">
        <f>IF(OR(AG23="ENGLISH",AG23="MBA"),"",IF(OR(G23="PRACTICAL - UG",G23="PRACTICAL - PG"),'Paste here'!AQ23,""))</f>
        <v/>
      </c>
      <c r="BI23" s="62" t="str">
        <f>UPPER(IF(OR(G23="PRACTICAL - UG",G23="PRACTICAL - PG"),'Paste here'!AR23,"  -NA-  "))</f>
        <v xml:space="preserve">  -NA-  </v>
      </c>
      <c r="BJ23" s="62" t="str">
        <f>IF(OR(G23="PRACTICAL - UG",G23="PRACTICAL - PG"),'Paste here'!AT23,"  -NA-  ")</f>
        <v xml:space="preserve">  -NA-  </v>
      </c>
      <c r="BK23" s="62" t="str">
        <f t="shared" si="3"/>
        <v xml:space="preserve">  -NA-  </v>
      </c>
      <c r="BL23" s="62" t="str">
        <f>IF(OR(G23="PRACTICAL - UG",G23="PRACTICAL - PG"),'Paste here'!AS23,"  -NA-  ")</f>
        <v xml:space="preserve">  -NA-  </v>
      </c>
      <c r="BM23" s="62" t="str">
        <f>IF(OR(G23="PRACTICAL - UG",G23="PRACTICAL - PG"),'Paste here'!M23,"  -NA-  ")</f>
        <v xml:space="preserve">  -NA-  </v>
      </c>
      <c r="BN23" s="62" t="str">
        <f>IF(OR(G23="PRACTICAL - UG",G23="PRACTICAL - PG"),'Paste here'!N23,"  -NA-  ")</f>
        <v xml:space="preserve">  -NA-  </v>
      </c>
      <c r="BO23" s="62" t="str">
        <f>IF(OR(AG23="ENGLISH",AG23="MBA"),"",IF(OR(G23="PRACTICAL - UG",G23="PRACTICAL - PG"),Technician!J23,"  -NA-  "))</f>
        <v xml:space="preserve">  -NA-  </v>
      </c>
      <c r="BP23" s="62" t="str">
        <f>IF(OR(G23="PRACTICAL - UG",G23="PRACTICAL - PG"),'Paste here'!AU23,"  -NA-  ")</f>
        <v xml:space="preserve">  -NA-  </v>
      </c>
      <c r="BQ23" s="62" t="str">
        <f>UPPER(IF(OR(,G23="PRACTICAL - UG",G23="PRACTICAL - PG"),'Paste here'!AV23,"  -NA-  "))</f>
        <v xml:space="preserve">  -NA-  </v>
      </c>
      <c r="BR23" s="62" t="str">
        <f>UPPER(IF(OR(G23="PRACTICAL - UG",G23="PRACTICAL - PG"),'Paste here'!AW23,"  -NA-  "))</f>
        <v xml:space="preserve">  -NA-  </v>
      </c>
      <c r="BS23" s="62" t="str">
        <f>UPPER(IF(OR(G23="PRACTICAL - UG",G23="PRACTICAL - PG"),'Paste here'!AX23,"  -NA-  "))</f>
        <v xml:space="preserve">  -NA-  </v>
      </c>
      <c r="BT23" s="39" t="str">
        <f>IF(OR(AG23="ENGLISH",AG23="MBA"),"",IF(OR(G23="PRACTICAL - UG",G23="PRACTICAL - PG"),Technician!L23,""))</f>
        <v/>
      </c>
    </row>
    <row r="24" spans="1:72" s="13" customFormat="1" ht="19.899999999999999" customHeight="1" x14ac:dyDescent="0.25">
      <c r="A24" s="5">
        <f>'Paste here'!A24</f>
        <v>0</v>
      </c>
      <c r="B24" s="39">
        <f>'Paste here'!F24</f>
        <v>0</v>
      </c>
      <c r="C24" s="39">
        <f>'Paste here'!J24</f>
        <v>0</v>
      </c>
      <c r="D24" s="39">
        <f>'Paste here'!K24</f>
        <v>0</v>
      </c>
      <c r="E24" s="39" t="str">
        <f>UPPER('Paste here'!H24)</f>
        <v/>
      </c>
      <c r="F24" s="39">
        <f>'Paste here'!I24</f>
        <v>0</v>
      </c>
      <c r="G24" s="39">
        <f>'Paste here'!G24</f>
        <v>0</v>
      </c>
      <c r="H24" s="84">
        <f>'Paste here'!D24</f>
        <v>0</v>
      </c>
      <c r="I24" s="39">
        <f>'Paste here'!E24</f>
        <v>0</v>
      </c>
      <c r="J24" s="63"/>
      <c r="K24" s="39">
        <f>'Paste here'!O24</f>
        <v>0</v>
      </c>
      <c r="L24" s="67" t="str">
        <f>UPPER('Paste here'!P24)</f>
        <v/>
      </c>
      <c r="M24" s="39">
        <f>'Paste here'!S24</f>
        <v>0</v>
      </c>
      <c r="N24" s="39">
        <f>'Paste here'!R24</f>
        <v>0</v>
      </c>
      <c r="O24" s="39">
        <f>'Paste here'!T24</f>
        <v>0</v>
      </c>
      <c r="P24" s="5" t="e">
        <f>IF(VLOOKUP(O24,'Distance matrix'!B$2:C$238,2,FALSE)&lt;36,"&lt;35",VLOOKUP(O24,'Distance matrix'!B$2:C$238,2,FALSE))</f>
        <v>#N/A</v>
      </c>
      <c r="Q24" s="39">
        <f>'Paste here'!Q24</f>
        <v>0</v>
      </c>
      <c r="R24" s="39">
        <f>'Paste here'!M24</f>
        <v>0</v>
      </c>
      <c r="S24" s="39">
        <f>'Paste here'!N24</f>
        <v>0</v>
      </c>
      <c r="T24" s="65" t="e">
        <f>External!K24</f>
        <v>#N/A</v>
      </c>
      <c r="U24" s="62">
        <f>External!M24</f>
        <v>0</v>
      </c>
      <c r="V24" s="62">
        <f>External!L24</f>
        <v>0</v>
      </c>
      <c r="W24" s="62" t="e">
        <f>External!N24</f>
        <v>#N/A</v>
      </c>
      <c r="X24" s="39">
        <f>'Paste here'!U24</f>
        <v>0</v>
      </c>
      <c r="Y24" s="39" t="str">
        <f>UPPER('Paste here'!V24)</f>
        <v/>
      </c>
      <c r="Z24" s="39" t="str">
        <f>UPPER('Paste here'!W24)</f>
        <v/>
      </c>
      <c r="AA24" s="39" t="str">
        <f>UPPER('Paste here'!X24)</f>
        <v/>
      </c>
      <c r="AB24" s="39" t="e">
        <f>External!O24</f>
        <v>#VALUE!</v>
      </c>
      <c r="AC24" s="63"/>
      <c r="AD24" s="62">
        <f>'Paste here'!Y24</f>
        <v>0</v>
      </c>
      <c r="AE24" s="62" t="str">
        <f>UPPER('Paste here'!Z24)</f>
        <v/>
      </c>
      <c r="AF24" s="62">
        <f>'Paste here'!AC24</f>
        <v>0</v>
      </c>
      <c r="AG24" s="62">
        <f>'Paste here'!AB24</f>
        <v>0</v>
      </c>
      <c r="AH24" s="62" t="s">
        <v>47</v>
      </c>
      <c r="AI24" s="62">
        <f>'Paste here'!AA24</f>
        <v>0</v>
      </c>
      <c r="AJ24" s="62">
        <f>'Paste here'!M24</f>
        <v>0</v>
      </c>
      <c r="AK24" s="62">
        <f>'Paste here'!N24</f>
        <v>0</v>
      </c>
      <c r="AL24" s="62" t="e">
        <f>Internal!L24</f>
        <v>#N/A</v>
      </c>
      <c r="AM24" s="62">
        <f>'Paste here'!AD24</f>
        <v>0</v>
      </c>
      <c r="AN24" s="62" t="str">
        <f>UPPER('Paste here'!AE24)</f>
        <v/>
      </c>
      <c r="AO24" s="62" t="str">
        <f>UPPER('Paste here'!AF24)</f>
        <v/>
      </c>
      <c r="AP24" s="62" t="str">
        <f>UPPER('Paste here'!AG24)</f>
        <v/>
      </c>
      <c r="AQ24" s="62" t="e">
        <f>Internal!M24</f>
        <v>#VALUE!</v>
      </c>
      <c r="AR24" s="63"/>
      <c r="AS24" s="62" t="str">
        <f>IF(OR(G24="TCPL",G24="PRACTICAL - UG",G24="PRACTICAL - PG"),'Paste here'!AH24,"")</f>
        <v/>
      </c>
      <c r="AT24" s="62" t="str">
        <f>UPPER(IF(OR(G24="TCPL",G24="PRACTICAL - UG",G24="PRACTICAL - PG"),'Paste here'!AI24,"  -NA-  "))</f>
        <v xml:space="preserve">  -NA-  </v>
      </c>
      <c r="AU24" s="62" t="str">
        <f>IF(OR(G24="TCPL",G24="PRACTICAL - UG",G24="PRACTICAL - PG"),'Paste here'!AL24,"  -NA-  ")</f>
        <v xml:space="preserve">  -NA-  </v>
      </c>
      <c r="AV24" s="62" t="str">
        <f>IF(OR(G24="TCPL",G24="PRACTICAL - UG",G24="PRACTICAL - PG"),'Paste here'!AK24,"  -NA-  ")</f>
        <v xml:space="preserve">  -NA-  </v>
      </c>
      <c r="AW24" s="62" t="str">
        <f t="shared" si="2"/>
        <v xml:space="preserve">  -NA-  </v>
      </c>
      <c r="AX24" s="62" t="str">
        <f>IF(OR(G24="TCPL",G24="PRACTICAL - UG",G24="PRACTICAL - PG"),'Paste here'!AJ24,"  -NA-  ")</f>
        <v xml:space="preserve">  -NA-  </v>
      </c>
      <c r="AY24" s="62" t="str">
        <f>IF(OR(G24="TCPL",G24="PRACTICAL - UG",G24="PRACTICAL - PG"),'Paste here'!M24,"  -NA-  ")</f>
        <v xml:space="preserve">  -NA-  </v>
      </c>
      <c r="AZ24" s="62" t="str">
        <f>IF(OR(G24="TCPL",G24="PRACTICAL - UG",G24="PRACTICAL - PG"),'Paste here'!N24,"  -NA-  ")</f>
        <v xml:space="preserve">  -NA-  </v>
      </c>
      <c r="BA24" s="62" t="str">
        <f>IF(OR(G24="TCPL",G24="PRACTICAL - UG",G24="PRACTICAL - PG"),Skilled!K24,"  -NA-  ")</f>
        <v xml:space="preserve">  -NA-  </v>
      </c>
      <c r="BB24" s="62" t="str">
        <f>IF(OR(G24="TCPL",G24="PRACTICAL - UG",G24="PRACTICAL - PG"),'Paste here'!AM24,"  -NA-  ")</f>
        <v xml:space="preserve">  -NA-  </v>
      </c>
      <c r="BC24" s="62" t="str">
        <f>UPPER(IF(OR(G24="TCPL",G24="PRACTICAL - UG",G24="PRACTICAL - PG"),'Paste here'!AN24,"  -NA-  "))</f>
        <v xml:space="preserve">  -NA-  </v>
      </c>
      <c r="BD24" s="62" t="str">
        <f>UPPER(IF(OR(G24="TCPL",G24="PRACTICAL - UG",G24="PRACTICAL - PG"),'Paste here'!AO24,"  -NA-  "))</f>
        <v xml:space="preserve">  -NA-  </v>
      </c>
      <c r="BE24" s="62" t="str">
        <f>UPPER(IF(OR(G24="TCPL",G24="PRACTICAL - UG",G24="PRACTICAL - PG"),'Paste here'!AP24,"  -NA-  "))</f>
        <v xml:space="preserve">  -NA-  </v>
      </c>
      <c r="BF24" s="62" t="str">
        <f>IF(OR(G24="TCPL",G24="PRACTICAL - UG",G24="PRACTICAL - PG"),Skilled!L24,"")</f>
        <v/>
      </c>
      <c r="BG24" s="63"/>
      <c r="BH24" s="62" t="str">
        <f>IF(OR(AG24="ENGLISH",AG24="MBA"),"",IF(OR(G24="PRACTICAL - UG",G24="PRACTICAL - PG"),'Paste here'!AQ24,""))</f>
        <v/>
      </c>
      <c r="BI24" s="62" t="str">
        <f>UPPER(IF(OR(G24="PRACTICAL - UG",G24="PRACTICAL - PG"),'Paste here'!AR24,"  -NA-  "))</f>
        <v xml:space="preserve">  -NA-  </v>
      </c>
      <c r="BJ24" s="62" t="str">
        <f>IF(OR(G24="PRACTICAL - UG",G24="PRACTICAL - PG"),'Paste here'!AT24,"  -NA-  ")</f>
        <v xml:space="preserve">  -NA-  </v>
      </c>
      <c r="BK24" s="62" t="str">
        <f t="shared" si="3"/>
        <v xml:space="preserve">  -NA-  </v>
      </c>
      <c r="BL24" s="62" t="str">
        <f>IF(OR(G24="PRACTICAL - UG",G24="PRACTICAL - PG"),'Paste here'!AS24,"  -NA-  ")</f>
        <v xml:space="preserve">  -NA-  </v>
      </c>
      <c r="BM24" s="62" t="str">
        <f>IF(OR(G24="PRACTICAL - UG",G24="PRACTICAL - PG"),'Paste here'!M24,"  -NA-  ")</f>
        <v xml:space="preserve">  -NA-  </v>
      </c>
      <c r="BN24" s="62" t="str">
        <f>IF(OR(G24="PRACTICAL - UG",G24="PRACTICAL - PG"),'Paste here'!N24,"  -NA-  ")</f>
        <v xml:space="preserve">  -NA-  </v>
      </c>
      <c r="BO24" s="62" t="str">
        <f>IF(OR(AG24="ENGLISH",AG24="MBA"),"",IF(OR(G24="PRACTICAL - UG",G24="PRACTICAL - PG"),Technician!J24,"  -NA-  "))</f>
        <v xml:space="preserve">  -NA-  </v>
      </c>
      <c r="BP24" s="62" t="str">
        <f>IF(OR(G24="PRACTICAL - UG",G24="PRACTICAL - PG"),'Paste here'!AU24,"  -NA-  ")</f>
        <v xml:space="preserve">  -NA-  </v>
      </c>
      <c r="BQ24" s="62" t="str">
        <f>UPPER(IF(OR(,G24="PRACTICAL - UG",G24="PRACTICAL - PG"),'Paste here'!AV24,"  -NA-  "))</f>
        <v xml:space="preserve">  -NA-  </v>
      </c>
      <c r="BR24" s="62" t="str">
        <f>UPPER(IF(OR(G24="PRACTICAL - UG",G24="PRACTICAL - PG"),'Paste here'!AW24,"  -NA-  "))</f>
        <v xml:space="preserve">  -NA-  </v>
      </c>
      <c r="BS24" s="62" t="str">
        <f>UPPER(IF(OR(G24="PRACTICAL - UG",G24="PRACTICAL - PG"),'Paste here'!AX24,"  -NA-  "))</f>
        <v xml:space="preserve">  -NA-  </v>
      </c>
      <c r="BT24" s="39" t="str">
        <f>IF(OR(AG24="ENGLISH",AG24="MBA"),"",IF(OR(G24="PRACTICAL - UG",G24="PRACTICAL - PG"),Technician!L24,""))</f>
        <v/>
      </c>
    </row>
    <row r="25" spans="1:72" s="13" customFormat="1" ht="19.899999999999999" customHeight="1" x14ac:dyDescent="0.25">
      <c r="A25" s="5">
        <f>'Paste here'!A25</f>
        <v>0</v>
      </c>
      <c r="B25" s="39">
        <f>'Paste here'!F25</f>
        <v>0</v>
      </c>
      <c r="C25" s="39">
        <f>'Paste here'!J25</f>
        <v>0</v>
      </c>
      <c r="D25" s="39">
        <f>'Paste here'!K25</f>
        <v>0</v>
      </c>
      <c r="E25" s="39" t="str">
        <f>UPPER('Paste here'!H25)</f>
        <v/>
      </c>
      <c r="F25" s="39">
        <f>'Paste here'!I25</f>
        <v>0</v>
      </c>
      <c r="G25" s="39">
        <f>'Paste here'!G25</f>
        <v>0</v>
      </c>
      <c r="H25" s="84">
        <f>'Paste here'!D25</f>
        <v>0</v>
      </c>
      <c r="I25" s="39">
        <f>'Paste here'!E25</f>
        <v>0</v>
      </c>
      <c r="J25" s="63"/>
      <c r="K25" s="39">
        <f>'Paste here'!O25</f>
        <v>0</v>
      </c>
      <c r="L25" s="67" t="str">
        <f>UPPER('Paste here'!P25)</f>
        <v/>
      </c>
      <c r="M25" s="39">
        <f>'Paste here'!S25</f>
        <v>0</v>
      </c>
      <c r="N25" s="39">
        <f>'Paste here'!R25</f>
        <v>0</v>
      </c>
      <c r="O25" s="39">
        <f>'Paste here'!T25</f>
        <v>0</v>
      </c>
      <c r="P25" s="5" t="e">
        <f>IF(VLOOKUP(O25,'Distance matrix'!B$2:C$238,2,FALSE)&lt;36,"&lt;35",VLOOKUP(O25,'Distance matrix'!B$2:C$238,2,FALSE))</f>
        <v>#N/A</v>
      </c>
      <c r="Q25" s="39">
        <f>'Paste here'!Q25</f>
        <v>0</v>
      </c>
      <c r="R25" s="39">
        <f>'Paste here'!M25</f>
        <v>0</v>
      </c>
      <c r="S25" s="39">
        <f>'Paste here'!N25</f>
        <v>0</v>
      </c>
      <c r="T25" s="65" t="e">
        <f>External!K25</f>
        <v>#N/A</v>
      </c>
      <c r="U25" s="62">
        <f>External!M25</f>
        <v>0</v>
      </c>
      <c r="V25" s="62">
        <f>External!L25</f>
        <v>0</v>
      </c>
      <c r="W25" s="62" t="e">
        <f>External!N25</f>
        <v>#N/A</v>
      </c>
      <c r="X25" s="39">
        <f>'Paste here'!U25</f>
        <v>0</v>
      </c>
      <c r="Y25" s="39" t="str">
        <f>UPPER('Paste here'!V25)</f>
        <v/>
      </c>
      <c r="Z25" s="39" t="str">
        <f>UPPER('Paste here'!W25)</f>
        <v/>
      </c>
      <c r="AA25" s="39" t="str">
        <f>UPPER('Paste here'!X25)</f>
        <v/>
      </c>
      <c r="AB25" s="39" t="e">
        <f>External!O25</f>
        <v>#VALUE!</v>
      </c>
      <c r="AC25" s="63"/>
      <c r="AD25" s="62">
        <f>'Paste here'!Y25</f>
        <v>0</v>
      </c>
      <c r="AE25" s="62" t="str">
        <f>UPPER('Paste here'!Z25)</f>
        <v/>
      </c>
      <c r="AF25" s="62">
        <f>'Paste here'!AC25</f>
        <v>0</v>
      </c>
      <c r="AG25" s="62">
        <f>'Paste here'!AB25</f>
        <v>0</v>
      </c>
      <c r="AH25" s="62" t="s">
        <v>47</v>
      </c>
      <c r="AI25" s="62">
        <f>'Paste here'!AA25</f>
        <v>0</v>
      </c>
      <c r="AJ25" s="62">
        <f>'Paste here'!M25</f>
        <v>0</v>
      </c>
      <c r="AK25" s="62">
        <f>'Paste here'!N25</f>
        <v>0</v>
      </c>
      <c r="AL25" s="62" t="e">
        <f>Internal!L25</f>
        <v>#N/A</v>
      </c>
      <c r="AM25" s="62">
        <f>'Paste here'!AD25</f>
        <v>0</v>
      </c>
      <c r="AN25" s="62" t="str">
        <f>UPPER('Paste here'!AE25)</f>
        <v/>
      </c>
      <c r="AO25" s="62" t="str">
        <f>UPPER('Paste here'!AF25)</f>
        <v/>
      </c>
      <c r="AP25" s="62" t="str">
        <f>UPPER('Paste here'!AG25)</f>
        <v/>
      </c>
      <c r="AQ25" s="62" t="e">
        <f>Internal!M25</f>
        <v>#VALUE!</v>
      </c>
      <c r="AR25" s="63"/>
      <c r="AS25" s="62" t="str">
        <f>IF(OR(G25="TCPL",G25="PRACTICAL - UG",G25="PRACTICAL - PG"),'Paste here'!AH25,"")</f>
        <v/>
      </c>
      <c r="AT25" s="62" t="str">
        <f>UPPER(IF(OR(G25="TCPL",G25="PRACTICAL - UG",G25="PRACTICAL - PG"),'Paste here'!AI25,"  -NA-  "))</f>
        <v xml:space="preserve">  -NA-  </v>
      </c>
      <c r="AU25" s="62" t="str">
        <f>IF(OR(G25="TCPL",G25="PRACTICAL - UG",G25="PRACTICAL - PG"),'Paste here'!AL25,"  -NA-  ")</f>
        <v xml:space="preserve">  -NA-  </v>
      </c>
      <c r="AV25" s="62" t="str">
        <f>IF(OR(G25="TCPL",G25="PRACTICAL - UG",G25="PRACTICAL - PG"),'Paste here'!AK25,"  -NA-  ")</f>
        <v xml:space="preserve">  -NA-  </v>
      </c>
      <c r="AW25" s="62" t="str">
        <f t="shared" si="2"/>
        <v xml:space="preserve">  -NA-  </v>
      </c>
      <c r="AX25" s="62" t="str">
        <f>IF(OR(G25="TCPL",G25="PRACTICAL - UG",G25="PRACTICAL - PG"),'Paste here'!AJ25,"  -NA-  ")</f>
        <v xml:space="preserve">  -NA-  </v>
      </c>
      <c r="AY25" s="62" t="str">
        <f>IF(OR(G25="TCPL",G25="PRACTICAL - UG",G25="PRACTICAL - PG"),'Paste here'!M25,"  -NA-  ")</f>
        <v xml:space="preserve">  -NA-  </v>
      </c>
      <c r="AZ25" s="62" t="str">
        <f>IF(OR(G25="TCPL",G25="PRACTICAL - UG",G25="PRACTICAL - PG"),'Paste here'!N25,"  -NA-  ")</f>
        <v xml:space="preserve">  -NA-  </v>
      </c>
      <c r="BA25" s="62" t="str">
        <f>IF(OR(G25="TCPL",G25="PRACTICAL - UG",G25="PRACTICAL - PG"),Skilled!K25,"  -NA-  ")</f>
        <v xml:space="preserve">  -NA-  </v>
      </c>
      <c r="BB25" s="62" t="str">
        <f>IF(OR(G25="TCPL",G25="PRACTICAL - UG",G25="PRACTICAL - PG"),'Paste here'!AM25,"  -NA-  ")</f>
        <v xml:space="preserve">  -NA-  </v>
      </c>
      <c r="BC25" s="62" t="str">
        <f>UPPER(IF(OR(G25="TCPL",G25="PRACTICAL - UG",G25="PRACTICAL - PG"),'Paste here'!AN25,"  -NA-  "))</f>
        <v xml:space="preserve">  -NA-  </v>
      </c>
      <c r="BD25" s="62" t="str">
        <f>UPPER(IF(OR(G25="TCPL",G25="PRACTICAL - UG",G25="PRACTICAL - PG"),'Paste here'!AO25,"  -NA-  "))</f>
        <v xml:space="preserve">  -NA-  </v>
      </c>
      <c r="BE25" s="62" t="str">
        <f>UPPER(IF(OR(G25="TCPL",G25="PRACTICAL - UG",G25="PRACTICAL - PG"),'Paste here'!AP25,"  -NA-  "))</f>
        <v xml:space="preserve">  -NA-  </v>
      </c>
      <c r="BF25" s="62" t="str">
        <f>IF(OR(G25="TCPL",G25="PRACTICAL - UG",G25="PRACTICAL - PG"),Skilled!L25,"")</f>
        <v/>
      </c>
      <c r="BG25" s="63"/>
      <c r="BH25" s="62" t="str">
        <f>IF(OR(AG25="ENGLISH",AG25="MBA"),"",IF(OR(G25="PRACTICAL - UG",G25="PRACTICAL - PG"),'Paste here'!AQ25,""))</f>
        <v/>
      </c>
      <c r="BI25" s="62" t="str">
        <f>UPPER(IF(OR(G25="PRACTICAL - UG",G25="PRACTICAL - PG"),'Paste here'!AR25,"  -NA-  "))</f>
        <v xml:space="preserve">  -NA-  </v>
      </c>
      <c r="BJ25" s="62" t="str">
        <f>IF(OR(G25="PRACTICAL - UG",G25="PRACTICAL - PG"),'Paste here'!AT25,"  -NA-  ")</f>
        <v xml:space="preserve">  -NA-  </v>
      </c>
      <c r="BK25" s="62" t="str">
        <f t="shared" si="3"/>
        <v xml:space="preserve">  -NA-  </v>
      </c>
      <c r="BL25" s="62" t="str">
        <f>IF(OR(G25="PRACTICAL - UG",G25="PRACTICAL - PG"),'Paste here'!AS25,"  -NA-  ")</f>
        <v xml:space="preserve">  -NA-  </v>
      </c>
      <c r="BM25" s="62" t="str">
        <f>IF(OR(G25="PRACTICAL - UG",G25="PRACTICAL - PG"),'Paste here'!M25,"  -NA-  ")</f>
        <v xml:space="preserve">  -NA-  </v>
      </c>
      <c r="BN25" s="62" t="str">
        <f>IF(OR(G25="PRACTICAL - UG",G25="PRACTICAL - PG"),'Paste here'!N25,"  -NA-  ")</f>
        <v xml:space="preserve">  -NA-  </v>
      </c>
      <c r="BO25" s="62" t="str">
        <f>IF(OR(AG25="ENGLISH",AG25="MBA"),"",IF(OR(G25="PRACTICAL - UG",G25="PRACTICAL - PG"),Technician!J25,"  -NA-  "))</f>
        <v xml:space="preserve">  -NA-  </v>
      </c>
      <c r="BP25" s="62" t="str">
        <f>IF(OR(G25="PRACTICAL - UG",G25="PRACTICAL - PG"),'Paste here'!AU25,"  -NA-  ")</f>
        <v xml:space="preserve">  -NA-  </v>
      </c>
      <c r="BQ25" s="62" t="str">
        <f>UPPER(IF(OR(,G25="PRACTICAL - UG",G25="PRACTICAL - PG"),'Paste here'!AV25,"  -NA-  "))</f>
        <v xml:space="preserve">  -NA-  </v>
      </c>
      <c r="BR25" s="62" t="str">
        <f>UPPER(IF(OR(G25="PRACTICAL - UG",G25="PRACTICAL - PG"),'Paste here'!AW25,"  -NA-  "))</f>
        <v xml:space="preserve">  -NA-  </v>
      </c>
      <c r="BS25" s="62" t="str">
        <f>UPPER(IF(OR(G25="PRACTICAL - UG",G25="PRACTICAL - PG"),'Paste here'!AX25,"  -NA-  "))</f>
        <v xml:space="preserve">  -NA-  </v>
      </c>
      <c r="BT25" s="39" t="str">
        <f>IF(OR(AG25="ENGLISH",AG25="MBA"),"",IF(OR(G25="PRACTICAL - UG",G25="PRACTICAL - PG"),Technician!L25,""))</f>
        <v/>
      </c>
    </row>
    <row r="26" spans="1:72" s="13" customFormat="1" ht="19.899999999999999" customHeight="1" x14ac:dyDescent="0.25">
      <c r="A26" s="5">
        <f>'Paste here'!A26</f>
        <v>0</v>
      </c>
      <c r="B26" s="39">
        <f>'Paste here'!F26</f>
        <v>0</v>
      </c>
      <c r="C26" s="39">
        <f>'Paste here'!J26</f>
        <v>0</v>
      </c>
      <c r="D26" s="39">
        <f>'Paste here'!K26</f>
        <v>0</v>
      </c>
      <c r="E26" s="39" t="str">
        <f>UPPER('Paste here'!H26)</f>
        <v/>
      </c>
      <c r="F26" s="39">
        <f>'Paste here'!I26</f>
        <v>0</v>
      </c>
      <c r="G26" s="39">
        <f>'Paste here'!G26</f>
        <v>0</v>
      </c>
      <c r="H26" s="84">
        <f>'Paste here'!D26</f>
        <v>0</v>
      </c>
      <c r="I26" s="39">
        <f>'Paste here'!E26</f>
        <v>0</v>
      </c>
      <c r="J26" s="63"/>
      <c r="K26" s="39">
        <f>'Paste here'!O26</f>
        <v>0</v>
      </c>
      <c r="L26" s="67" t="str">
        <f>UPPER('Paste here'!P26)</f>
        <v/>
      </c>
      <c r="M26" s="39">
        <f>'Paste here'!S26</f>
        <v>0</v>
      </c>
      <c r="N26" s="39">
        <f>'Paste here'!R26</f>
        <v>0</v>
      </c>
      <c r="O26" s="39">
        <f>'Paste here'!T26</f>
        <v>0</v>
      </c>
      <c r="P26" s="5" t="e">
        <f>IF(VLOOKUP(O26,'Distance matrix'!B$2:C$238,2,FALSE)&lt;36,"&lt;35",VLOOKUP(O26,'Distance matrix'!B$2:C$238,2,FALSE))</f>
        <v>#N/A</v>
      </c>
      <c r="Q26" s="39">
        <f>'Paste here'!Q26</f>
        <v>0</v>
      </c>
      <c r="R26" s="39">
        <f>'Paste here'!M26</f>
        <v>0</v>
      </c>
      <c r="S26" s="39">
        <f>'Paste here'!N26</f>
        <v>0</v>
      </c>
      <c r="T26" s="65" t="e">
        <f>External!K26</f>
        <v>#N/A</v>
      </c>
      <c r="U26" s="62">
        <f>External!M26</f>
        <v>0</v>
      </c>
      <c r="V26" s="62">
        <f>External!L26</f>
        <v>0</v>
      </c>
      <c r="W26" s="62" t="e">
        <f>External!N26</f>
        <v>#N/A</v>
      </c>
      <c r="X26" s="39">
        <f>'Paste here'!U26</f>
        <v>0</v>
      </c>
      <c r="Y26" s="39" t="str">
        <f>UPPER('Paste here'!V26)</f>
        <v/>
      </c>
      <c r="Z26" s="39" t="str">
        <f>UPPER('Paste here'!W26)</f>
        <v/>
      </c>
      <c r="AA26" s="39" t="str">
        <f>UPPER('Paste here'!X26)</f>
        <v/>
      </c>
      <c r="AB26" s="39" t="e">
        <f>External!O26</f>
        <v>#VALUE!</v>
      </c>
      <c r="AC26" s="63"/>
      <c r="AD26" s="62">
        <f>'Paste here'!Y26</f>
        <v>0</v>
      </c>
      <c r="AE26" s="62" t="str">
        <f>UPPER('Paste here'!Z26)</f>
        <v/>
      </c>
      <c r="AF26" s="62">
        <f>'Paste here'!AC26</f>
        <v>0</v>
      </c>
      <c r="AG26" s="62">
        <f>'Paste here'!AB26</f>
        <v>0</v>
      </c>
      <c r="AH26" s="62" t="s">
        <v>47</v>
      </c>
      <c r="AI26" s="62">
        <f>'Paste here'!AA26</f>
        <v>0</v>
      </c>
      <c r="AJ26" s="62">
        <f>'Paste here'!M26</f>
        <v>0</v>
      </c>
      <c r="AK26" s="62">
        <f>'Paste here'!N26</f>
        <v>0</v>
      </c>
      <c r="AL26" s="62" t="e">
        <f>Internal!L26</f>
        <v>#N/A</v>
      </c>
      <c r="AM26" s="62">
        <f>'Paste here'!AD26</f>
        <v>0</v>
      </c>
      <c r="AN26" s="62" t="str">
        <f>UPPER('Paste here'!AE26)</f>
        <v/>
      </c>
      <c r="AO26" s="62" t="str">
        <f>UPPER('Paste here'!AF26)</f>
        <v/>
      </c>
      <c r="AP26" s="62" t="str">
        <f>UPPER('Paste here'!AG26)</f>
        <v/>
      </c>
      <c r="AQ26" s="62" t="e">
        <f>Internal!M26</f>
        <v>#VALUE!</v>
      </c>
      <c r="AR26" s="63"/>
      <c r="AS26" s="62" t="str">
        <f>IF(OR(G26="TCPL",G26="PRACTICAL - UG",G26="PRACTICAL - PG"),'Paste here'!AH26,"")</f>
        <v/>
      </c>
      <c r="AT26" s="62" t="str">
        <f>UPPER(IF(OR(G26="TCPL",G26="PRACTICAL - UG",G26="PRACTICAL - PG"),'Paste here'!AI26,"  -NA-  "))</f>
        <v xml:space="preserve">  -NA-  </v>
      </c>
      <c r="AU26" s="62" t="str">
        <f>IF(OR(G26="TCPL",G26="PRACTICAL - UG",G26="PRACTICAL - PG"),'Paste here'!AL26,"  -NA-  ")</f>
        <v xml:space="preserve">  -NA-  </v>
      </c>
      <c r="AV26" s="62" t="str">
        <f>IF(OR(G26="TCPL",G26="PRACTICAL - UG",G26="PRACTICAL - PG"),'Paste here'!AK26,"  -NA-  ")</f>
        <v xml:space="preserve">  -NA-  </v>
      </c>
      <c r="AW26" s="62" t="str">
        <f t="shared" si="2"/>
        <v xml:space="preserve">  -NA-  </v>
      </c>
      <c r="AX26" s="62" t="str">
        <f>IF(OR(G26="TCPL",G26="PRACTICAL - UG",G26="PRACTICAL - PG"),'Paste here'!AJ26,"  -NA-  ")</f>
        <v xml:space="preserve">  -NA-  </v>
      </c>
      <c r="AY26" s="62" t="str">
        <f>IF(OR(G26="TCPL",G26="PRACTICAL - UG",G26="PRACTICAL - PG"),'Paste here'!M26,"  -NA-  ")</f>
        <v xml:space="preserve">  -NA-  </v>
      </c>
      <c r="AZ26" s="62" t="str">
        <f>IF(OR(G26="TCPL",G26="PRACTICAL - UG",G26="PRACTICAL - PG"),'Paste here'!N26,"  -NA-  ")</f>
        <v xml:space="preserve">  -NA-  </v>
      </c>
      <c r="BA26" s="62" t="str">
        <f>IF(OR(G26="TCPL",G26="PRACTICAL - UG",G26="PRACTICAL - PG"),Skilled!K26,"  -NA-  ")</f>
        <v xml:space="preserve">  -NA-  </v>
      </c>
      <c r="BB26" s="62" t="str">
        <f>IF(OR(G26="TCPL",G26="PRACTICAL - UG",G26="PRACTICAL - PG"),'Paste here'!AM26,"  -NA-  ")</f>
        <v xml:space="preserve">  -NA-  </v>
      </c>
      <c r="BC26" s="62" t="str">
        <f>UPPER(IF(OR(G26="TCPL",G26="PRACTICAL - UG",G26="PRACTICAL - PG"),'Paste here'!AN26,"  -NA-  "))</f>
        <v xml:space="preserve">  -NA-  </v>
      </c>
      <c r="BD26" s="62" t="str">
        <f>UPPER(IF(OR(G26="TCPL",G26="PRACTICAL - UG",G26="PRACTICAL - PG"),'Paste here'!AO26,"  -NA-  "))</f>
        <v xml:space="preserve">  -NA-  </v>
      </c>
      <c r="BE26" s="62" t="str">
        <f>UPPER(IF(OR(G26="TCPL",G26="PRACTICAL - UG",G26="PRACTICAL - PG"),'Paste here'!AP26,"  -NA-  "))</f>
        <v xml:space="preserve">  -NA-  </v>
      </c>
      <c r="BF26" s="62" t="str">
        <f>IF(OR(G26="TCPL",G26="PRACTICAL - UG",G26="PRACTICAL - PG"),Skilled!L26,"")</f>
        <v/>
      </c>
      <c r="BG26" s="63"/>
      <c r="BH26" s="62" t="str">
        <f>IF(OR(AG26="ENGLISH",AG26="MBA"),"",IF(OR(G26="PRACTICAL - UG",G26="PRACTICAL - PG"),'Paste here'!AQ26,""))</f>
        <v/>
      </c>
      <c r="BI26" s="62" t="str">
        <f>UPPER(IF(OR(G26="PRACTICAL - UG",G26="PRACTICAL - PG"),'Paste here'!AR26,"  -NA-  "))</f>
        <v xml:space="preserve">  -NA-  </v>
      </c>
      <c r="BJ26" s="62" t="str">
        <f>IF(OR(G26="PRACTICAL - UG",G26="PRACTICAL - PG"),'Paste here'!AT26,"  -NA-  ")</f>
        <v xml:space="preserve">  -NA-  </v>
      </c>
      <c r="BK26" s="62" t="str">
        <f t="shared" si="3"/>
        <v xml:space="preserve">  -NA-  </v>
      </c>
      <c r="BL26" s="62" t="str">
        <f>IF(OR(G26="PRACTICAL - UG",G26="PRACTICAL - PG"),'Paste here'!AS26,"  -NA-  ")</f>
        <v xml:space="preserve">  -NA-  </v>
      </c>
      <c r="BM26" s="62" t="str">
        <f>IF(OR(G26="PRACTICAL - UG",G26="PRACTICAL - PG"),'Paste here'!M26,"  -NA-  ")</f>
        <v xml:space="preserve">  -NA-  </v>
      </c>
      <c r="BN26" s="62" t="str">
        <f>IF(OR(G26="PRACTICAL - UG",G26="PRACTICAL - PG"),'Paste here'!N26,"  -NA-  ")</f>
        <v xml:space="preserve">  -NA-  </v>
      </c>
      <c r="BO26" s="62" t="str">
        <f>IF(OR(AG26="ENGLISH",AG26="MBA"),"",IF(OR(G26="PRACTICAL - UG",G26="PRACTICAL - PG"),Technician!J26,"  -NA-  "))</f>
        <v xml:space="preserve">  -NA-  </v>
      </c>
      <c r="BP26" s="62" t="str">
        <f>IF(OR(G26="PRACTICAL - UG",G26="PRACTICAL - PG"),'Paste here'!AU26,"  -NA-  ")</f>
        <v xml:space="preserve">  -NA-  </v>
      </c>
      <c r="BQ26" s="62" t="str">
        <f>UPPER(IF(OR(,G26="PRACTICAL - UG",G26="PRACTICAL - PG"),'Paste here'!AV26,"  -NA-  "))</f>
        <v xml:space="preserve">  -NA-  </v>
      </c>
      <c r="BR26" s="62" t="str">
        <f>UPPER(IF(OR(G26="PRACTICAL - UG",G26="PRACTICAL - PG"),'Paste here'!AW26,"  -NA-  "))</f>
        <v xml:space="preserve">  -NA-  </v>
      </c>
      <c r="BS26" s="62" t="str">
        <f>UPPER(IF(OR(G26="PRACTICAL - UG",G26="PRACTICAL - PG"),'Paste here'!AX26,"  -NA-  "))</f>
        <v xml:space="preserve">  -NA-  </v>
      </c>
      <c r="BT26" s="39" t="str">
        <f>IF(OR(AG26="ENGLISH",AG26="MBA"),"",IF(OR(G26="PRACTICAL - UG",G26="PRACTICAL - PG"),Technician!L26,""))</f>
        <v/>
      </c>
    </row>
    <row r="27" spans="1:72" s="13" customFormat="1" ht="19.899999999999999" customHeight="1" x14ac:dyDescent="0.25">
      <c r="A27" s="5">
        <f>'Paste here'!A27</f>
        <v>0</v>
      </c>
      <c r="B27" s="39">
        <f>'Paste here'!F27</f>
        <v>0</v>
      </c>
      <c r="C27" s="39">
        <f>'Paste here'!J27</f>
        <v>0</v>
      </c>
      <c r="D27" s="39">
        <f>'Paste here'!K27</f>
        <v>0</v>
      </c>
      <c r="E27" s="39" t="str">
        <f>UPPER('Paste here'!H27)</f>
        <v/>
      </c>
      <c r="F27" s="39">
        <f>'Paste here'!I27</f>
        <v>0</v>
      </c>
      <c r="G27" s="39">
        <f>'Paste here'!G27</f>
        <v>0</v>
      </c>
      <c r="H27" s="84">
        <f>'Paste here'!D27</f>
        <v>0</v>
      </c>
      <c r="I27" s="39">
        <f>'Paste here'!E27</f>
        <v>0</v>
      </c>
      <c r="J27" s="63"/>
      <c r="K27" s="39">
        <f>'Paste here'!O27</f>
        <v>0</v>
      </c>
      <c r="L27" s="67" t="str">
        <f>UPPER('Paste here'!P27)</f>
        <v/>
      </c>
      <c r="M27" s="39">
        <f>'Paste here'!S27</f>
        <v>0</v>
      </c>
      <c r="N27" s="39">
        <f>'Paste here'!R27</f>
        <v>0</v>
      </c>
      <c r="O27" s="39">
        <f>'Paste here'!T27</f>
        <v>0</v>
      </c>
      <c r="P27" s="5" t="e">
        <f>IF(VLOOKUP(O27,'Distance matrix'!B$2:C$238,2,FALSE)&lt;36,"&lt;35",VLOOKUP(O27,'Distance matrix'!B$2:C$238,2,FALSE))</f>
        <v>#N/A</v>
      </c>
      <c r="Q27" s="39">
        <f>'Paste here'!Q27</f>
        <v>0</v>
      </c>
      <c r="R27" s="39">
        <f>'Paste here'!M27</f>
        <v>0</v>
      </c>
      <c r="S27" s="39">
        <f>'Paste here'!N27</f>
        <v>0</v>
      </c>
      <c r="T27" s="65" t="e">
        <f>External!K27</f>
        <v>#N/A</v>
      </c>
      <c r="U27" s="62">
        <f>External!M27</f>
        <v>0</v>
      </c>
      <c r="V27" s="62">
        <f>External!L27</f>
        <v>0</v>
      </c>
      <c r="W27" s="62" t="e">
        <f>External!N27</f>
        <v>#N/A</v>
      </c>
      <c r="X27" s="39">
        <f>'Paste here'!U27</f>
        <v>0</v>
      </c>
      <c r="Y27" s="39" t="str">
        <f>UPPER('Paste here'!V27)</f>
        <v/>
      </c>
      <c r="Z27" s="39" t="str">
        <f>UPPER('Paste here'!W27)</f>
        <v/>
      </c>
      <c r="AA27" s="39" t="str">
        <f>UPPER('Paste here'!X27)</f>
        <v/>
      </c>
      <c r="AB27" s="39" t="e">
        <f>External!O27</f>
        <v>#VALUE!</v>
      </c>
      <c r="AC27" s="63"/>
      <c r="AD27" s="62">
        <f>'Paste here'!Y27</f>
        <v>0</v>
      </c>
      <c r="AE27" s="62" t="str">
        <f>UPPER('Paste here'!Z27)</f>
        <v/>
      </c>
      <c r="AF27" s="62">
        <f>'Paste here'!AC27</f>
        <v>0</v>
      </c>
      <c r="AG27" s="62">
        <f>'Paste here'!AB27</f>
        <v>0</v>
      </c>
      <c r="AH27" s="62" t="s">
        <v>47</v>
      </c>
      <c r="AI27" s="62">
        <f>'Paste here'!AA27</f>
        <v>0</v>
      </c>
      <c r="AJ27" s="62">
        <f>'Paste here'!M27</f>
        <v>0</v>
      </c>
      <c r="AK27" s="62">
        <f>'Paste here'!N27</f>
        <v>0</v>
      </c>
      <c r="AL27" s="62" t="e">
        <f>Internal!L27</f>
        <v>#N/A</v>
      </c>
      <c r="AM27" s="62">
        <f>'Paste here'!AD27</f>
        <v>0</v>
      </c>
      <c r="AN27" s="62" t="str">
        <f>UPPER('Paste here'!AE27)</f>
        <v/>
      </c>
      <c r="AO27" s="62" t="str">
        <f>UPPER('Paste here'!AF27)</f>
        <v/>
      </c>
      <c r="AP27" s="62" t="str">
        <f>UPPER('Paste here'!AG27)</f>
        <v/>
      </c>
      <c r="AQ27" s="62" t="e">
        <f>Internal!M27</f>
        <v>#VALUE!</v>
      </c>
      <c r="AR27" s="63"/>
      <c r="AS27" s="62" t="str">
        <f>IF(OR(G27="TCPL",G27="PRACTICAL - UG",G27="PRACTICAL - PG"),'Paste here'!AH27,"")</f>
        <v/>
      </c>
      <c r="AT27" s="62" t="str">
        <f>UPPER(IF(OR(G27="TCPL",G27="PRACTICAL - UG",G27="PRACTICAL - PG"),'Paste here'!AI27,"  -NA-  "))</f>
        <v xml:space="preserve">  -NA-  </v>
      </c>
      <c r="AU27" s="62" t="str">
        <f>IF(OR(G27="TCPL",G27="PRACTICAL - UG",G27="PRACTICAL - PG"),'Paste here'!AL27,"  -NA-  ")</f>
        <v xml:space="preserve">  -NA-  </v>
      </c>
      <c r="AV27" s="62" t="str">
        <f>IF(OR(G27="TCPL",G27="PRACTICAL - UG",G27="PRACTICAL - PG"),'Paste here'!AK27,"  -NA-  ")</f>
        <v xml:space="preserve">  -NA-  </v>
      </c>
      <c r="AW27" s="62" t="str">
        <f t="shared" si="2"/>
        <v xml:space="preserve">  -NA-  </v>
      </c>
      <c r="AX27" s="62" t="str">
        <f>IF(OR(G27="TCPL",G27="PRACTICAL - UG",G27="PRACTICAL - PG"),'Paste here'!AJ27,"  -NA-  ")</f>
        <v xml:space="preserve">  -NA-  </v>
      </c>
      <c r="AY27" s="62" t="str">
        <f>IF(OR(G27="TCPL",G27="PRACTICAL - UG",G27="PRACTICAL - PG"),'Paste here'!M27,"  -NA-  ")</f>
        <v xml:space="preserve">  -NA-  </v>
      </c>
      <c r="AZ27" s="62" t="str">
        <f>IF(OR(G27="TCPL",G27="PRACTICAL - UG",G27="PRACTICAL - PG"),'Paste here'!N27,"  -NA-  ")</f>
        <v xml:space="preserve">  -NA-  </v>
      </c>
      <c r="BA27" s="62" t="str">
        <f>IF(OR(G27="TCPL",G27="PRACTICAL - UG",G27="PRACTICAL - PG"),Skilled!K27,"  -NA-  ")</f>
        <v xml:space="preserve">  -NA-  </v>
      </c>
      <c r="BB27" s="62" t="str">
        <f>IF(OR(G27="TCPL",G27="PRACTICAL - UG",G27="PRACTICAL - PG"),'Paste here'!AM27,"  -NA-  ")</f>
        <v xml:space="preserve">  -NA-  </v>
      </c>
      <c r="BC27" s="62" t="str">
        <f>UPPER(IF(OR(G27="TCPL",G27="PRACTICAL - UG",G27="PRACTICAL - PG"),'Paste here'!AN27,"  -NA-  "))</f>
        <v xml:space="preserve">  -NA-  </v>
      </c>
      <c r="BD27" s="62" t="str">
        <f>UPPER(IF(OR(G27="TCPL",G27="PRACTICAL - UG",G27="PRACTICAL - PG"),'Paste here'!AO27,"  -NA-  "))</f>
        <v xml:space="preserve">  -NA-  </v>
      </c>
      <c r="BE27" s="62" t="str">
        <f>UPPER(IF(OR(G27="TCPL",G27="PRACTICAL - UG",G27="PRACTICAL - PG"),'Paste here'!AP27,"  -NA-  "))</f>
        <v xml:space="preserve">  -NA-  </v>
      </c>
      <c r="BF27" s="62" t="str">
        <f>IF(OR(G27="TCPL",G27="PRACTICAL - UG",G27="PRACTICAL - PG"),Skilled!L27,"")</f>
        <v/>
      </c>
      <c r="BG27" s="63"/>
      <c r="BH27" s="62" t="str">
        <f>IF(OR(AG27="ENGLISH",AG27="MBA"),"",IF(OR(G27="PRACTICAL - UG",G27="PRACTICAL - PG"),'Paste here'!AQ27,""))</f>
        <v/>
      </c>
      <c r="BI27" s="62" t="str">
        <f>UPPER(IF(OR(G27="PRACTICAL - UG",G27="PRACTICAL - PG"),'Paste here'!AR27,"  -NA-  "))</f>
        <v xml:space="preserve">  -NA-  </v>
      </c>
      <c r="BJ27" s="62" t="str">
        <f>IF(OR(G27="PRACTICAL - UG",G27="PRACTICAL - PG"),'Paste here'!AT27,"  -NA-  ")</f>
        <v xml:space="preserve">  -NA-  </v>
      </c>
      <c r="BK27" s="62" t="str">
        <f t="shared" si="3"/>
        <v xml:space="preserve">  -NA-  </v>
      </c>
      <c r="BL27" s="62" t="str">
        <f>IF(OR(G27="PRACTICAL - UG",G27="PRACTICAL - PG"),'Paste here'!AS27,"  -NA-  ")</f>
        <v xml:space="preserve">  -NA-  </v>
      </c>
      <c r="BM27" s="62" t="str">
        <f>IF(OR(G27="PRACTICAL - UG",G27="PRACTICAL - PG"),'Paste here'!M27,"  -NA-  ")</f>
        <v xml:space="preserve">  -NA-  </v>
      </c>
      <c r="BN27" s="62" t="str">
        <f>IF(OR(G27="PRACTICAL - UG",G27="PRACTICAL - PG"),'Paste here'!N27,"  -NA-  ")</f>
        <v xml:space="preserve">  -NA-  </v>
      </c>
      <c r="BO27" s="62" t="str">
        <f>IF(OR(AG27="ENGLISH",AG27="MBA"),"",IF(OR(G27="PRACTICAL - UG",G27="PRACTICAL - PG"),Technician!J27,"  -NA-  "))</f>
        <v xml:space="preserve">  -NA-  </v>
      </c>
      <c r="BP27" s="62" t="str">
        <f>IF(OR(G27="PRACTICAL - UG",G27="PRACTICAL - PG"),'Paste here'!AU27,"  -NA-  ")</f>
        <v xml:space="preserve">  -NA-  </v>
      </c>
      <c r="BQ27" s="62" t="str">
        <f>UPPER(IF(OR(,G27="PRACTICAL - UG",G27="PRACTICAL - PG"),'Paste here'!AV27,"  -NA-  "))</f>
        <v xml:space="preserve">  -NA-  </v>
      </c>
      <c r="BR27" s="62" t="str">
        <f>UPPER(IF(OR(G27="PRACTICAL - UG",G27="PRACTICAL - PG"),'Paste here'!AW27,"  -NA-  "))</f>
        <v xml:space="preserve">  -NA-  </v>
      </c>
      <c r="BS27" s="62" t="str">
        <f>UPPER(IF(OR(G27="PRACTICAL - UG",G27="PRACTICAL - PG"),'Paste here'!AX27,"  -NA-  "))</f>
        <v xml:space="preserve">  -NA-  </v>
      </c>
      <c r="BT27" s="39" t="str">
        <f>IF(OR(AG27="ENGLISH",AG27="MBA"),"",IF(OR(G27="PRACTICAL - UG",G27="PRACTICAL - PG"),Technician!L27,""))</f>
        <v/>
      </c>
    </row>
    <row r="28" spans="1:72" s="13" customFormat="1" ht="24" customHeight="1" x14ac:dyDescent="0.25">
      <c r="A28" s="5">
        <f>'Paste here'!A28</f>
        <v>0</v>
      </c>
      <c r="B28" s="39">
        <f>'Paste here'!F28</f>
        <v>0</v>
      </c>
      <c r="C28" s="39">
        <f>'Paste here'!J28</f>
        <v>0</v>
      </c>
      <c r="D28" s="39">
        <f>'Paste here'!K28</f>
        <v>0</v>
      </c>
      <c r="E28" s="39" t="str">
        <f>UPPER('Paste here'!H28)</f>
        <v/>
      </c>
      <c r="F28" s="39">
        <f>'Paste here'!I28</f>
        <v>0</v>
      </c>
      <c r="G28" s="39">
        <f>'Paste here'!G28</f>
        <v>0</v>
      </c>
      <c r="H28" s="84">
        <f>'Paste here'!D28</f>
        <v>0</v>
      </c>
      <c r="I28" s="39">
        <f>'Paste here'!E28</f>
        <v>0</v>
      </c>
      <c r="J28" s="63"/>
      <c r="K28" s="39">
        <f>'Paste here'!O28</f>
        <v>0</v>
      </c>
      <c r="L28" s="67" t="str">
        <f>UPPER('Paste here'!P28)</f>
        <v/>
      </c>
      <c r="M28" s="39">
        <f>'Paste here'!S28</f>
        <v>0</v>
      </c>
      <c r="N28" s="39">
        <f>'Paste here'!R28</f>
        <v>0</v>
      </c>
      <c r="O28" s="39">
        <f>'Paste here'!T28</f>
        <v>0</v>
      </c>
      <c r="P28" s="5" t="e">
        <f>IF(VLOOKUP(O28,'Distance matrix'!B$2:C$238,2,FALSE)&lt;36,"&lt;35",VLOOKUP(O28,'Distance matrix'!B$2:C$238,2,FALSE))</f>
        <v>#N/A</v>
      </c>
      <c r="Q28" s="39">
        <f>'Paste here'!Q28</f>
        <v>0</v>
      </c>
      <c r="R28" s="39">
        <f>'Paste here'!M28</f>
        <v>0</v>
      </c>
      <c r="S28" s="39">
        <f>'Paste here'!N28</f>
        <v>0</v>
      </c>
      <c r="T28" s="65" t="e">
        <f>External!K28</f>
        <v>#N/A</v>
      </c>
      <c r="U28" s="62">
        <f>External!M28</f>
        <v>0</v>
      </c>
      <c r="V28" s="62">
        <f>External!L28</f>
        <v>0</v>
      </c>
      <c r="W28" s="62" t="e">
        <f>External!N28</f>
        <v>#N/A</v>
      </c>
      <c r="X28" s="39">
        <f>'Paste here'!U28</f>
        <v>0</v>
      </c>
      <c r="Y28" s="39" t="str">
        <f>UPPER('Paste here'!V28)</f>
        <v/>
      </c>
      <c r="Z28" s="39" t="str">
        <f>UPPER('Paste here'!W28)</f>
        <v/>
      </c>
      <c r="AA28" s="39" t="str">
        <f>UPPER('Paste here'!X28)</f>
        <v/>
      </c>
      <c r="AB28" s="39" t="e">
        <f>External!O28</f>
        <v>#VALUE!</v>
      </c>
      <c r="AC28" s="63"/>
      <c r="AD28" s="62">
        <f>'Paste here'!Y28</f>
        <v>0</v>
      </c>
      <c r="AE28" s="62" t="str">
        <f>UPPER('Paste here'!Z28)</f>
        <v/>
      </c>
      <c r="AF28" s="62">
        <f>'Paste here'!AC28</f>
        <v>0</v>
      </c>
      <c r="AG28" s="62">
        <f>'Paste here'!AB28</f>
        <v>0</v>
      </c>
      <c r="AH28" s="62" t="s">
        <v>47</v>
      </c>
      <c r="AI28" s="62">
        <f>'Paste here'!AA28</f>
        <v>0</v>
      </c>
      <c r="AJ28" s="62">
        <f>'Paste here'!M28</f>
        <v>0</v>
      </c>
      <c r="AK28" s="62">
        <f>'Paste here'!N28</f>
        <v>0</v>
      </c>
      <c r="AL28" s="62" t="e">
        <f>Internal!L28</f>
        <v>#N/A</v>
      </c>
      <c r="AM28" s="62">
        <f>'Paste here'!AD28</f>
        <v>0</v>
      </c>
      <c r="AN28" s="62" t="str">
        <f>UPPER('Paste here'!AE28)</f>
        <v/>
      </c>
      <c r="AO28" s="62" t="str">
        <f>UPPER('Paste here'!AF28)</f>
        <v/>
      </c>
      <c r="AP28" s="62" t="str">
        <f>UPPER('Paste here'!AG28)</f>
        <v/>
      </c>
      <c r="AQ28" s="62" t="e">
        <f>Internal!M28</f>
        <v>#VALUE!</v>
      </c>
      <c r="AR28" s="63"/>
      <c r="AS28" s="62" t="str">
        <f>IF(OR(G28="TCPL",G28="PRACTICAL - UG",G28="PRACTICAL - PG"),'Paste here'!AH28,"")</f>
        <v/>
      </c>
      <c r="AT28" s="62" t="str">
        <f>UPPER(IF(OR(G28="TCPL",G28="PRACTICAL - UG",G28="PRACTICAL - PG"),'Paste here'!AI28,"  -NA-  "))</f>
        <v xml:space="preserve">  -NA-  </v>
      </c>
      <c r="AU28" s="62" t="str">
        <f>IF(OR(G28="TCPL",G28="PRACTICAL - UG",G28="PRACTICAL - PG"),'Paste here'!AL28,"  -NA-  ")</f>
        <v xml:space="preserve">  -NA-  </v>
      </c>
      <c r="AV28" s="62" t="str">
        <f>IF(OR(G28="TCPL",G28="PRACTICAL - UG",G28="PRACTICAL - PG"),'Paste here'!AK28,"  -NA-  ")</f>
        <v xml:space="preserve">  -NA-  </v>
      </c>
      <c r="AW28" s="62" t="str">
        <f t="shared" si="2"/>
        <v xml:space="preserve">  -NA-  </v>
      </c>
      <c r="AX28" s="62" t="str">
        <f>IF(OR(G28="TCPL",G28="PRACTICAL - UG",G28="PRACTICAL - PG"),'Paste here'!AJ28,"  -NA-  ")</f>
        <v xml:space="preserve">  -NA-  </v>
      </c>
      <c r="AY28" s="62" t="str">
        <f>IF(OR(G28="TCPL",G28="PRACTICAL - UG",G28="PRACTICAL - PG"),'Paste here'!M28,"  -NA-  ")</f>
        <v xml:space="preserve">  -NA-  </v>
      </c>
      <c r="AZ28" s="62" t="str">
        <f>IF(OR(G28="TCPL",G28="PRACTICAL - UG",G28="PRACTICAL - PG"),'Paste here'!N28,"  -NA-  ")</f>
        <v xml:space="preserve">  -NA-  </v>
      </c>
      <c r="BA28" s="62" t="str">
        <f>IF(OR(G28="TCPL",G28="PRACTICAL - UG",G28="PRACTICAL - PG"),Skilled!K28,"  -NA-  ")</f>
        <v xml:space="preserve">  -NA-  </v>
      </c>
      <c r="BB28" s="62" t="str">
        <f>IF(OR(G28="TCPL",G28="PRACTICAL - UG",G28="PRACTICAL - PG"),'Paste here'!AM28,"  -NA-  ")</f>
        <v xml:space="preserve">  -NA-  </v>
      </c>
      <c r="BC28" s="62" t="str">
        <f>UPPER(IF(OR(G28="TCPL",G28="PRACTICAL - UG",G28="PRACTICAL - PG"),'Paste here'!AN28,"  -NA-  "))</f>
        <v xml:space="preserve">  -NA-  </v>
      </c>
      <c r="BD28" s="62" t="str">
        <f>UPPER(IF(OR(G28="TCPL",G28="PRACTICAL - UG",G28="PRACTICAL - PG"),'Paste here'!AO28,"  -NA-  "))</f>
        <v xml:space="preserve">  -NA-  </v>
      </c>
      <c r="BE28" s="62" t="str">
        <f>UPPER(IF(OR(G28="TCPL",G28="PRACTICAL - UG",G28="PRACTICAL - PG"),'Paste here'!AP28,"  -NA-  "))</f>
        <v xml:space="preserve">  -NA-  </v>
      </c>
      <c r="BF28" s="62" t="str">
        <f>IF(OR(G28="TCPL",G28="PRACTICAL - UG",G28="PRACTICAL - PG"),Skilled!L28,"")</f>
        <v/>
      </c>
      <c r="BG28" s="63"/>
      <c r="BH28" s="62" t="str">
        <f>IF(OR(AG28="ENGLISH",AG28="MBA"),"",IF(OR(G28="PRACTICAL - UG",G28="PRACTICAL - PG"),'Paste here'!AQ28,""))</f>
        <v/>
      </c>
      <c r="BI28" s="62" t="str">
        <f>UPPER(IF(OR(G28="PRACTICAL - UG",G28="PRACTICAL - PG"),'Paste here'!AR28,"  -NA-  "))</f>
        <v xml:space="preserve">  -NA-  </v>
      </c>
      <c r="BJ28" s="62" t="str">
        <f>IF(OR(G28="PRACTICAL - UG",G28="PRACTICAL - PG"),'Paste here'!AT28,"  -NA-  ")</f>
        <v xml:space="preserve">  -NA-  </v>
      </c>
      <c r="BK28" s="62" t="str">
        <f t="shared" si="3"/>
        <v xml:space="preserve">  -NA-  </v>
      </c>
      <c r="BL28" s="62" t="str">
        <f>IF(OR(G28="PRACTICAL - UG",G28="PRACTICAL - PG"),'Paste here'!AS28,"  -NA-  ")</f>
        <v xml:space="preserve">  -NA-  </v>
      </c>
      <c r="BM28" s="62" t="str">
        <f>IF(OR(G28="PRACTICAL - UG",G28="PRACTICAL - PG"),'Paste here'!M28,"  -NA-  ")</f>
        <v xml:space="preserve">  -NA-  </v>
      </c>
      <c r="BN28" s="62" t="str">
        <f>IF(OR(G28="PRACTICAL - UG",G28="PRACTICAL - PG"),'Paste here'!N28,"  -NA-  ")</f>
        <v xml:space="preserve">  -NA-  </v>
      </c>
      <c r="BO28" s="62" t="str">
        <f>IF(OR(AG28="ENGLISH",AG28="MBA"),"",IF(OR(G28="PRACTICAL - UG",G28="PRACTICAL - PG"),Technician!J28,"  -NA-  "))</f>
        <v xml:space="preserve">  -NA-  </v>
      </c>
      <c r="BP28" s="62" t="str">
        <f>IF(OR(G28="PRACTICAL - UG",G28="PRACTICAL - PG"),'Paste here'!AU28,"  -NA-  ")</f>
        <v xml:space="preserve">  -NA-  </v>
      </c>
      <c r="BQ28" s="62" t="str">
        <f>UPPER(IF(OR(,G28="PRACTICAL - UG",G28="PRACTICAL - PG"),'Paste here'!AV28,"  -NA-  "))</f>
        <v xml:space="preserve">  -NA-  </v>
      </c>
      <c r="BR28" s="62" t="str">
        <f>UPPER(IF(OR(G28="PRACTICAL - UG",G28="PRACTICAL - PG"),'Paste here'!AW28,"  -NA-  "))</f>
        <v xml:space="preserve">  -NA-  </v>
      </c>
      <c r="BS28" s="62" t="str">
        <f>UPPER(IF(OR(G28="PRACTICAL - UG",G28="PRACTICAL - PG"),'Paste here'!AX28,"  -NA-  "))</f>
        <v xml:space="preserve">  -NA-  </v>
      </c>
      <c r="BT28" s="39" t="str">
        <f>IF(OR(AG28="ENGLISH",AG28="MBA"),"",IF(OR(G28="PRACTICAL - UG",G28="PRACTICAL - PG"),Technician!L28,""))</f>
        <v/>
      </c>
    </row>
    <row r="29" spans="1:72" ht="24" customHeight="1" x14ac:dyDescent="0.25">
      <c r="A29" s="5">
        <f>'Paste here'!A29</f>
        <v>0</v>
      </c>
      <c r="B29" s="39">
        <f>'Paste here'!F29</f>
        <v>0</v>
      </c>
      <c r="C29" s="39">
        <f>'Paste here'!J29</f>
        <v>0</v>
      </c>
      <c r="D29" s="39">
        <f>'Paste here'!K29</f>
        <v>0</v>
      </c>
      <c r="E29" s="39" t="str">
        <f>UPPER('Paste here'!H29)</f>
        <v/>
      </c>
      <c r="F29" s="39">
        <f>'Paste here'!I29</f>
        <v>0</v>
      </c>
      <c r="G29" s="39">
        <f>'Paste here'!G29</f>
        <v>0</v>
      </c>
      <c r="H29" s="84">
        <f>'Paste here'!D29</f>
        <v>0</v>
      </c>
      <c r="I29" s="39">
        <f>'Paste here'!E29</f>
        <v>0</v>
      </c>
      <c r="J29" s="63"/>
      <c r="K29" s="39">
        <f>'Paste here'!O29</f>
        <v>0</v>
      </c>
      <c r="L29" s="67" t="str">
        <f>UPPER('Paste here'!P29)</f>
        <v/>
      </c>
      <c r="M29" s="39">
        <f>'Paste here'!S29</f>
        <v>0</v>
      </c>
      <c r="N29" s="39">
        <f>'Paste here'!R29</f>
        <v>0</v>
      </c>
      <c r="O29" s="39">
        <f>'Paste here'!T29</f>
        <v>0</v>
      </c>
      <c r="P29" s="5" t="e">
        <f>IF(VLOOKUP(O29,'Distance matrix'!B$2:C$238,2,FALSE)&lt;36,"&lt;35",VLOOKUP(O29,'Distance matrix'!B$2:C$238,2,FALSE))</f>
        <v>#N/A</v>
      </c>
      <c r="Q29" s="39">
        <f>'Paste here'!Q29</f>
        <v>0</v>
      </c>
      <c r="R29" s="39">
        <f>'Paste here'!M29</f>
        <v>0</v>
      </c>
      <c r="S29" s="39">
        <f>'Paste here'!N29</f>
        <v>0</v>
      </c>
      <c r="T29" s="65" t="e">
        <f>External!K29</f>
        <v>#N/A</v>
      </c>
      <c r="U29" s="62">
        <f>External!M29</f>
        <v>0</v>
      </c>
      <c r="V29" s="62">
        <f>External!L29</f>
        <v>0</v>
      </c>
      <c r="W29" s="62" t="e">
        <f>External!N29</f>
        <v>#N/A</v>
      </c>
      <c r="X29" s="39">
        <f>'Paste here'!U29</f>
        <v>0</v>
      </c>
      <c r="Y29" s="39" t="str">
        <f>UPPER('Paste here'!V29)</f>
        <v/>
      </c>
      <c r="Z29" s="39" t="str">
        <f>UPPER('Paste here'!W29)</f>
        <v/>
      </c>
      <c r="AA29" s="39" t="str">
        <f>UPPER('Paste here'!X29)</f>
        <v/>
      </c>
      <c r="AB29" s="39" t="e">
        <f>External!O29</f>
        <v>#VALUE!</v>
      </c>
      <c r="AC29" s="63"/>
      <c r="AD29" s="62">
        <f>'Paste here'!Y29</f>
        <v>0</v>
      </c>
      <c r="AE29" s="62" t="str">
        <f>UPPER('Paste here'!Z29)</f>
        <v/>
      </c>
      <c r="AF29" s="62">
        <f>'Paste here'!AC29</f>
        <v>0</v>
      </c>
      <c r="AG29" s="62">
        <f>'Paste here'!AB29</f>
        <v>0</v>
      </c>
      <c r="AH29" s="62" t="s">
        <v>47</v>
      </c>
      <c r="AI29" s="62">
        <f>'Paste here'!AA29</f>
        <v>0</v>
      </c>
      <c r="AJ29" s="62">
        <f>'Paste here'!M29</f>
        <v>0</v>
      </c>
      <c r="AK29" s="62">
        <f>'Paste here'!N29</f>
        <v>0</v>
      </c>
      <c r="AL29" s="62" t="e">
        <f>Internal!L29</f>
        <v>#N/A</v>
      </c>
      <c r="AM29" s="62">
        <f>'Paste here'!AD29</f>
        <v>0</v>
      </c>
      <c r="AN29" s="62" t="str">
        <f>UPPER('Paste here'!AE29)</f>
        <v/>
      </c>
      <c r="AO29" s="62" t="str">
        <f>UPPER('Paste here'!AF29)</f>
        <v/>
      </c>
      <c r="AP29" s="62" t="str">
        <f>UPPER('Paste here'!AG29)</f>
        <v/>
      </c>
      <c r="AQ29" s="62" t="e">
        <f>Internal!M29</f>
        <v>#VALUE!</v>
      </c>
      <c r="AR29" s="63"/>
      <c r="AS29" s="62" t="str">
        <f>IF(OR(G29="TCPL",G29="PRACTICAL - UG",G29="PRACTICAL - PG"),'Paste here'!AH29,"")</f>
        <v/>
      </c>
      <c r="AT29" s="62" t="str">
        <f>UPPER(IF(OR(G29="TCPL",G29="PRACTICAL - UG",G29="PRACTICAL - PG"),'Paste here'!AI29,"  -NA-  "))</f>
        <v xml:space="preserve">  -NA-  </v>
      </c>
      <c r="AU29" s="62" t="str">
        <f>IF(OR(G29="TCPL",G29="PRACTICAL - UG",G29="PRACTICAL - PG"),'Paste here'!AL29,"  -NA-  ")</f>
        <v xml:space="preserve">  -NA-  </v>
      </c>
      <c r="AV29" s="62" t="str">
        <f>IF(OR(G29="TCPL",G29="PRACTICAL - UG",G29="PRACTICAL - PG"),'Paste here'!AK29,"  -NA-  ")</f>
        <v xml:space="preserve">  -NA-  </v>
      </c>
      <c r="AW29" s="62" t="str">
        <f t="shared" si="2"/>
        <v xml:space="preserve">  -NA-  </v>
      </c>
      <c r="AX29" s="62" t="str">
        <f>IF(OR(G29="TCPL",G29="PRACTICAL - UG",G29="PRACTICAL - PG"),'Paste here'!AJ29,"  -NA-  ")</f>
        <v xml:space="preserve">  -NA-  </v>
      </c>
      <c r="AY29" s="62" t="str">
        <f>IF(OR(G29="TCPL",G29="PRACTICAL - UG",G29="PRACTICAL - PG"),'Paste here'!M29,"  -NA-  ")</f>
        <v xml:space="preserve">  -NA-  </v>
      </c>
      <c r="AZ29" s="62" t="str">
        <f>IF(OR(G29="TCPL",G29="PRACTICAL - UG",G29="PRACTICAL - PG"),'Paste here'!N29,"  -NA-  ")</f>
        <v xml:space="preserve">  -NA-  </v>
      </c>
      <c r="BA29" s="62" t="str">
        <f>IF(OR(G29="TCPL",G29="PRACTICAL - UG",G29="PRACTICAL - PG"),Skilled!K29,"  -NA-  ")</f>
        <v xml:space="preserve">  -NA-  </v>
      </c>
      <c r="BB29" s="62" t="str">
        <f>IF(OR(G29="TCPL",G29="PRACTICAL - UG",G29="PRACTICAL - PG"),'Paste here'!AM29,"  -NA-  ")</f>
        <v xml:space="preserve">  -NA-  </v>
      </c>
      <c r="BC29" s="62" t="str">
        <f>UPPER(IF(OR(G29="TCPL",G29="PRACTICAL - UG",G29="PRACTICAL - PG"),'Paste here'!AN29,"  -NA-  "))</f>
        <v xml:space="preserve">  -NA-  </v>
      </c>
      <c r="BD29" s="62" t="str">
        <f>UPPER(IF(OR(G29="TCPL",G29="PRACTICAL - UG",G29="PRACTICAL - PG"),'Paste here'!AO29,"  -NA-  "))</f>
        <v xml:space="preserve">  -NA-  </v>
      </c>
      <c r="BE29" s="62" t="str">
        <f>UPPER(IF(OR(G29="TCPL",G29="PRACTICAL - UG",G29="PRACTICAL - PG"),'Paste here'!AP29,"  -NA-  "))</f>
        <v xml:space="preserve">  -NA-  </v>
      </c>
      <c r="BF29" s="62" t="str">
        <f>IF(OR(G29="TCPL",G29="PRACTICAL - UG",G29="PRACTICAL - PG"),Skilled!L29,"")</f>
        <v/>
      </c>
      <c r="BG29" s="63"/>
      <c r="BH29" s="62" t="str">
        <f>IF(OR(AG29="ENGLISH",AG29="MBA"),"",IF(OR(G29="PRACTICAL - UG",G29="PRACTICAL - PG"),'Paste here'!AQ29,""))</f>
        <v/>
      </c>
      <c r="BI29" s="62" t="str">
        <f>UPPER(IF(OR(G29="PRACTICAL - UG",G29="PRACTICAL - PG"),'Paste here'!AR29,"  -NA-  "))</f>
        <v xml:space="preserve">  -NA-  </v>
      </c>
      <c r="BJ29" s="62" t="str">
        <f>IF(OR(G29="PRACTICAL - UG",G29="PRACTICAL - PG"),'Paste here'!AT29,"  -NA-  ")</f>
        <v xml:space="preserve">  -NA-  </v>
      </c>
      <c r="BK29" s="62" t="str">
        <f t="shared" si="3"/>
        <v xml:space="preserve">  -NA-  </v>
      </c>
      <c r="BL29" s="62" t="str">
        <f>IF(OR(G29="PRACTICAL - UG",G29="PRACTICAL - PG"),'Paste here'!AS29,"  -NA-  ")</f>
        <v xml:space="preserve">  -NA-  </v>
      </c>
      <c r="BM29" s="62" t="str">
        <f>IF(OR(G29="PRACTICAL - UG",G29="PRACTICAL - PG"),'Paste here'!M29,"  -NA-  ")</f>
        <v xml:space="preserve">  -NA-  </v>
      </c>
      <c r="BN29" s="62" t="str">
        <f>IF(OR(G29="PRACTICAL - UG",G29="PRACTICAL - PG"),'Paste here'!N29,"  -NA-  ")</f>
        <v xml:space="preserve">  -NA-  </v>
      </c>
      <c r="BO29" s="62" t="str">
        <f>IF(OR(AG29="ENGLISH",AG29="MBA"),"",IF(OR(G29="PRACTICAL - UG",G29="PRACTICAL - PG"),Technician!J29,"  -NA-  "))</f>
        <v xml:space="preserve">  -NA-  </v>
      </c>
      <c r="BP29" s="62" t="str">
        <f>IF(OR(G29="PRACTICAL - UG",G29="PRACTICAL - PG"),'Paste here'!AU29,"  -NA-  ")</f>
        <v xml:space="preserve">  -NA-  </v>
      </c>
      <c r="BQ29" s="62" t="str">
        <f>UPPER(IF(OR(,G29="PRACTICAL - UG",G29="PRACTICAL - PG"),'Paste here'!AV29,"  -NA-  "))</f>
        <v xml:space="preserve">  -NA-  </v>
      </c>
      <c r="BR29" s="62" t="str">
        <f>UPPER(IF(OR(G29="PRACTICAL - UG",G29="PRACTICAL - PG"),'Paste here'!AW29,"  -NA-  "))</f>
        <v xml:space="preserve">  -NA-  </v>
      </c>
      <c r="BS29" s="62" t="str">
        <f>UPPER(IF(OR(G29="PRACTICAL - UG",G29="PRACTICAL - PG"),'Paste here'!AX29,"  -NA-  "))</f>
        <v xml:space="preserve">  -NA-  </v>
      </c>
      <c r="BT29" s="39" t="str">
        <f>IF(OR(AG29="ENGLISH",AG29="MBA"),"",IF(OR(G29="PRACTICAL - UG",G29="PRACTICAL - PG"),Technician!L29,""))</f>
        <v/>
      </c>
    </row>
    <row r="30" spans="1:72" ht="24" customHeight="1" x14ac:dyDescent="0.25">
      <c r="A30" s="5">
        <f>'Paste here'!A30</f>
        <v>0</v>
      </c>
      <c r="B30" s="39">
        <f>'Paste here'!F30</f>
        <v>0</v>
      </c>
      <c r="C30" s="39">
        <f>'Paste here'!J30</f>
        <v>0</v>
      </c>
      <c r="D30" s="39">
        <f>'Paste here'!K30</f>
        <v>0</v>
      </c>
      <c r="E30" s="39" t="str">
        <f>UPPER('Paste here'!H30)</f>
        <v/>
      </c>
      <c r="F30" s="39">
        <f>'Paste here'!I30</f>
        <v>0</v>
      </c>
      <c r="G30" s="39">
        <f>'Paste here'!G30</f>
        <v>0</v>
      </c>
      <c r="H30" s="84">
        <f>'Paste here'!D30</f>
        <v>0</v>
      </c>
      <c r="I30" s="39">
        <f>'Paste here'!E30</f>
        <v>0</v>
      </c>
      <c r="J30" s="63"/>
      <c r="K30" s="39">
        <f>'Paste here'!O30</f>
        <v>0</v>
      </c>
      <c r="L30" s="67" t="str">
        <f>UPPER('Paste here'!P30)</f>
        <v/>
      </c>
      <c r="M30" s="39">
        <f>'Paste here'!S30</f>
        <v>0</v>
      </c>
      <c r="N30" s="39">
        <f>'Paste here'!R30</f>
        <v>0</v>
      </c>
      <c r="O30" s="39">
        <f>'Paste here'!T30</f>
        <v>0</v>
      </c>
      <c r="P30" s="5" t="e">
        <f>IF(VLOOKUP(O30,'Distance matrix'!B$2:C$238,2,FALSE)&lt;36,"&lt;35",VLOOKUP(O30,'Distance matrix'!B$2:C$238,2,FALSE))</f>
        <v>#N/A</v>
      </c>
      <c r="Q30" s="39">
        <f>'Paste here'!Q30</f>
        <v>0</v>
      </c>
      <c r="R30" s="39">
        <f>'Paste here'!M30</f>
        <v>0</v>
      </c>
      <c r="S30" s="39">
        <f>'Paste here'!N30</f>
        <v>0</v>
      </c>
      <c r="T30" s="65" t="e">
        <f>External!K30</f>
        <v>#N/A</v>
      </c>
      <c r="U30" s="62">
        <f>External!M30</f>
        <v>0</v>
      </c>
      <c r="V30" s="62">
        <f>External!L30</f>
        <v>0</v>
      </c>
      <c r="W30" s="62" t="e">
        <f>External!N30</f>
        <v>#N/A</v>
      </c>
      <c r="X30" s="39">
        <f>'Paste here'!U30</f>
        <v>0</v>
      </c>
      <c r="Y30" s="39" t="str">
        <f>UPPER('Paste here'!V30)</f>
        <v/>
      </c>
      <c r="Z30" s="39" t="str">
        <f>UPPER('Paste here'!W30)</f>
        <v/>
      </c>
      <c r="AA30" s="39" t="str">
        <f>UPPER('Paste here'!X30)</f>
        <v/>
      </c>
      <c r="AB30" s="39" t="e">
        <f>External!O30</f>
        <v>#VALUE!</v>
      </c>
      <c r="AC30" s="63"/>
      <c r="AD30" s="62">
        <f>'Paste here'!Y30</f>
        <v>0</v>
      </c>
      <c r="AE30" s="62" t="str">
        <f>UPPER('Paste here'!Z30)</f>
        <v/>
      </c>
      <c r="AF30" s="62">
        <f>'Paste here'!AC30</f>
        <v>0</v>
      </c>
      <c r="AG30" s="62">
        <f>'Paste here'!AB30</f>
        <v>0</v>
      </c>
      <c r="AH30" s="62" t="s">
        <v>47</v>
      </c>
      <c r="AI30" s="62">
        <f>'Paste here'!AA30</f>
        <v>0</v>
      </c>
      <c r="AJ30" s="62">
        <f>'Paste here'!M30</f>
        <v>0</v>
      </c>
      <c r="AK30" s="62">
        <f>'Paste here'!N30</f>
        <v>0</v>
      </c>
      <c r="AL30" s="62" t="e">
        <f>Internal!L30</f>
        <v>#N/A</v>
      </c>
      <c r="AM30" s="62">
        <f>'Paste here'!AD30</f>
        <v>0</v>
      </c>
      <c r="AN30" s="62" t="str">
        <f>UPPER('Paste here'!AE30)</f>
        <v/>
      </c>
      <c r="AO30" s="62" t="str">
        <f>UPPER('Paste here'!AF30)</f>
        <v/>
      </c>
      <c r="AP30" s="62" t="str">
        <f>UPPER('Paste here'!AG30)</f>
        <v/>
      </c>
      <c r="AQ30" s="62" t="e">
        <f>Internal!M30</f>
        <v>#VALUE!</v>
      </c>
      <c r="AR30" s="63"/>
      <c r="AS30" s="62" t="str">
        <f>IF(OR(G30="TCPL",G30="PRACTICAL - UG",G30="PRACTICAL - PG"),'Paste here'!AH30,"")</f>
        <v/>
      </c>
      <c r="AT30" s="62" t="str">
        <f>UPPER(IF(OR(G30="TCPL",G30="PRACTICAL - UG",G30="PRACTICAL - PG"),'Paste here'!AI30,"  -NA-  "))</f>
        <v xml:space="preserve">  -NA-  </v>
      </c>
      <c r="AU30" s="62" t="str">
        <f>IF(OR(G30="TCPL",G30="PRACTICAL - UG",G30="PRACTICAL - PG"),'Paste here'!AL30,"  -NA-  ")</f>
        <v xml:space="preserve">  -NA-  </v>
      </c>
      <c r="AV30" s="62" t="str">
        <f>IF(OR(G30="TCPL",G30="PRACTICAL - UG",G30="PRACTICAL - PG"),'Paste here'!AK30,"  -NA-  ")</f>
        <v xml:space="preserve">  -NA-  </v>
      </c>
      <c r="AW30" s="62" t="str">
        <f t="shared" si="2"/>
        <v xml:space="preserve">  -NA-  </v>
      </c>
      <c r="AX30" s="62" t="str">
        <f>IF(OR(G30="TCPL",G30="PRACTICAL - UG",G30="PRACTICAL - PG"),'Paste here'!AJ30,"  -NA-  ")</f>
        <v xml:space="preserve">  -NA-  </v>
      </c>
      <c r="AY30" s="62" t="str">
        <f>IF(OR(G30="TCPL",G30="PRACTICAL - UG",G30="PRACTICAL - PG"),'Paste here'!M30,"  -NA-  ")</f>
        <v xml:space="preserve">  -NA-  </v>
      </c>
      <c r="AZ30" s="62" t="str">
        <f>IF(OR(G30="TCPL",G30="PRACTICAL - UG",G30="PRACTICAL - PG"),'Paste here'!N30,"  -NA-  ")</f>
        <v xml:space="preserve">  -NA-  </v>
      </c>
      <c r="BA30" s="62" t="str">
        <f>IF(OR(G30="TCPL",G30="PRACTICAL - UG",G30="PRACTICAL - PG"),Skilled!K30,"  -NA-  ")</f>
        <v xml:space="preserve">  -NA-  </v>
      </c>
      <c r="BB30" s="62" t="str">
        <f>IF(OR(G30="TCPL",G30="PRACTICAL - UG",G30="PRACTICAL - PG"),'Paste here'!AM30,"  -NA-  ")</f>
        <v xml:space="preserve">  -NA-  </v>
      </c>
      <c r="BC30" s="62" t="str">
        <f>UPPER(IF(OR(G30="TCPL",G30="PRACTICAL - UG",G30="PRACTICAL - PG"),'Paste here'!AN30,"  -NA-  "))</f>
        <v xml:space="preserve">  -NA-  </v>
      </c>
      <c r="BD30" s="62" t="str">
        <f>UPPER(IF(OR(G30="TCPL",G30="PRACTICAL - UG",G30="PRACTICAL - PG"),'Paste here'!AO30,"  -NA-  "))</f>
        <v xml:space="preserve">  -NA-  </v>
      </c>
      <c r="BE30" s="62" t="str">
        <f>UPPER(IF(OR(G30="TCPL",G30="PRACTICAL - UG",G30="PRACTICAL - PG"),'Paste here'!AP30,"  -NA-  "))</f>
        <v xml:space="preserve">  -NA-  </v>
      </c>
      <c r="BF30" s="62" t="str">
        <f>IF(OR(G30="TCPL",G30="PRACTICAL - UG",G30="PRACTICAL - PG"),Skilled!L30,"")</f>
        <v/>
      </c>
      <c r="BG30" s="63"/>
      <c r="BH30" s="62" t="str">
        <f>IF(OR(AG30="ENGLISH",AG30="MBA"),"",IF(OR(G30="PRACTICAL - UG",G30="PRACTICAL - PG"),'Paste here'!AQ30,""))</f>
        <v/>
      </c>
      <c r="BI30" s="62" t="str">
        <f>UPPER(IF(OR(G30="PRACTICAL - UG",G30="PRACTICAL - PG"),'Paste here'!AR30,"  -NA-  "))</f>
        <v xml:space="preserve">  -NA-  </v>
      </c>
      <c r="BJ30" s="62" t="str">
        <f>IF(OR(G30="PRACTICAL - UG",G30="PRACTICAL - PG"),'Paste here'!AT30,"  -NA-  ")</f>
        <v xml:space="preserve">  -NA-  </v>
      </c>
      <c r="BK30" s="62" t="str">
        <f t="shared" si="3"/>
        <v xml:space="preserve">  -NA-  </v>
      </c>
      <c r="BL30" s="62" t="str">
        <f>IF(OR(G30="PRACTICAL - UG",G30="PRACTICAL - PG"),'Paste here'!AS30,"  -NA-  ")</f>
        <v xml:space="preserve">  -NA-  </v>
      </c>
      <c r="BM30" s="62" t="str">
        <f>IF(OR(G30="PRACTICAL - UG",G30="PRACTICAL - PG"),'Paste here'!M30,"  -NA-  ")</f>
        <v xml:space="preserve">  -NA-  </v>
      </c>
      <c r="BN30" s="62" t="str">
        <f>IF(OR(G30="PRACTICAL - UG",G30="PRACTICAL - PG"),'Paste here'!N30,"  -NA-  ")</f>
        <v xml:space="preserve">  -NA-  </v>
      </c>
      <c r="BO30" s="62" t="str">
        <f>IF(OR(AG30="ENGLISH",AG30="MBA"),"",IF(OR(G30="PRACTICAL - UG",G30="PRACTICAL - PG"),Technician!J30,"  -NA-  "))</f>
        <v xml:space="preserve">  -NA-  </v>
      </c>
      <c r="BP30" s="62" t="str">
        <f>IF(OR(G30="PRACTICAL - UG",G30="PRACTICAL - PG"),'Paste here'!AU30,"  -NA-  ")</f>
        <v xml:space="preserve">  -NA-  </v>
      </c>
      <c r="BQ30" s="62" t="str">
        <f>UPPER(IF(OR(,G30="PRACTICAL - UG",G30="PRACTICAL - PG"),'Paste here'!AV30,"  -NA-  "))</f>
        <v xml:space="preserve">  -NA-  </v>
      </c>
      <c r="BR30" s="62" t="str">
        <f>UPPER(IF(OR(G30="PRACTICAL - UG",G30="PRACTICAL - PG"),'Paste here'!AW30,"  -NA-  "))</f>
        <v xml:space="preserve">  -NA-  </v>
      </c>
      <c r="BS30" s="62" t="str">
        <f>UPPER(IF(OR(G30="PRACTICAL - UG",G30="PRACTICAL - PG"),'Paste here'!AX30,"  -NA-  "))</f>
        <v xml:space="preserve">  -NA-  </v>
      </c>
      <c r="BT30" s="39" t="str">
        <f>IF(OR(AG30="ENGLISH",AG30="MBA"),"",IF(OR(G30="PRACTICAL - UG",G30="PRACTICAL - PG"),Technician!L30,""))</f>
        <v/>
      </c>
    </row>
    <row r="31" spans="1:72" ht="24" customHeight="1" x14ac:dyDescent="0.25">
      <c r="A31" s="5">
        <f>'Paste here'!A31</f>
        <v>0</v>
      </c>
      <c r="B31" s="39">
        <f>'Paste here'!F31</f>
        <v>0</v>
      </c>
      <c r="C31" s="39">
        <f>'Paste here'!J31</f>
        <v>0</v>
      </c>
      <c r="D31" s="39">
        <f>'Paste here'!K31</f>
        <v>0</v>
      </c>
      <c r="E31" s="39" t="str">
        <f>UPPER('Paste here'!H31)</f>
        <v/>
      </c>
      <c r="F31" s="39">
        <f>'Paste here'!I31</f>
        <v>0</v>
      </c>
      <c r="G31" s="39">
        <f>'Paste here'!G31</f>
        <v>0</v>
      </c>
      <c r="H31" s="84">
        <f>'Paste here'!D31</f>
        <v>0</v>
      </c>
      <c r="I31" s="39">
        <f>'Paste here'!E31</f>
        <v>0</v>
      </c>
      <c r="J31" s="63"/>
      <c r="K31" s="39">
        <f>'Paste here'!O31</f>
        <v>0</v>
      </c>
      <c r="L31" s="67" t="str">
        <f>UPPER('Paste here'!P31)</f>
        <v/>
      </c>
      <c r="M31" s="39">
        <f>'Paste here'!S31</f>
        <v>0</v>
      </c>
      <c r="N31" s="39">
        <f>'Paste here'!R31</f>
        <v>0</v>
      </c>
      <c r="O31" s="39">
        <f>'Paste here'!T31</f>
        <v>0</v>
      </c>
      <c r="P31" s="5" t="e">
        <f>IF(VLOOKUP(O31,'Distance matrix'!B$2:C$238,2,FALSE)&lt;36,"&lt;35",VLOOKUP(O31,'Distance matrix'!B$2:C$238,2,FALSE))</f>
        <v>#N/A</v>
      </c>
      <c r="Q31" s="39">
        <f>'Paste here'!Q31</f>
        <v>0</v>
      </c>
      <c r="R31" s="39">
        <f>'Paste here'!M31</f>
        <v>0</v>
      </c>
      <c r="S31" s="39">
        <f>'Paste here'!N31</f>
        <v>0</v>
      </c>
      <c r="T31" s="65" t="e">
        <f>External!K31</f>
        <v>#N/A</v>
      </c>
      <c r="U31" s="62">
        <f>External!M31</f>
        <v>0</v>
      </c>
      <c r="V31" s="62">
        <f>External!L31</f>
        <v>0</v>
      </c>
      <c r="W31" s="62" t="e">
        <f>External!N31</f>
        <v>#N/A</v>
      </c>
      <c r="X31" s="39">
        <f>'Paste here'!U31</f>
        <v>0</v>
      </c>
      <c r="Y31" s="39" t="str">
        <f>UPPER('Paste here'!V31)</f>
        <v/>
      </c>
      <c r="Z31" s="39" t="str">
        <f>UPPER('Paste here'!W31)</f>
        <v/>
      </c>
      <c r="AA31" s="39" t="str">
        <f>UPPER('Paste here'!X31)</f>
        <v/>
      </c>
      <c r="AB31" s="39" t="e">
        <f>External!O31</f>
        <v>#VALUE!</v>
      </c>
      <c r="AC31" s="63"/>
      <c r="AD31" s="62">
        <f>'Paste here'!Y31</f>
        <v>0</v>
      </c>
      <c r="AE31" s="62" t="str">
        <f>UPPER('Paste here'!Z31)</f>
        <v/>
      </c>
      <c r="AF31" s="62">
        <f>'Paste here'!AC31</f>
        <v>0</v>
      </c>
      <c r="AG31" s="62">
        <f>'Paste here'!AB31</f>
        <v>0</v>
      </c>
      <c r="AH31" s="62" t="s">
        <v>47</v>
      </c>
      <c r="AI31" s="62">
        <f>'Paste here'!AA31</f>
        <v>0</v>
      </c>
      <c r="AJ31" s="62">
        <f>'Paste here'!M31</f>
        <v>0</v>
      </c>
      <c r="AK31" s="62">
        <f>'Paste here'!N31</f>
        <v>0</v>
      </c>
      <c r="AL31" s="62" t="e">
        <f>Internal!L31</f>
        <v>#N/A</v>
      </c>
      <c r="AM31" s="62">
        <f>'Paste here'!AD31</f>
        <v>0</v>
      </c>
      <c r="AN31" s="62" t="str">
        <f>UPPER('Paste here'!AE31)</f>
        <v/>
      </c>
      <c r="AO31" s="62" t="str">
        <f>UPPER('Paste here'!AF31)</f>
        <v/>
      </c>
      <c r="AP31" s="62" t="str">
        <f>UPPER('Paste here'!AG31)</f>
        <v/>
      </c>
      <c r="AQ31" s="62" t="e">
        <f>Internal!M31</f>
        <v>#VALUE!</v>
      </c>
      <c r="AR31" s="63"/>
      <c r="AS31" s="62" t="str">
        <f>IF(OR(G31="TCPL",G31="PRACTICAL - UG",G31="PRACTICAL - PG"),'Paste here'!AH31,"")</f>
        <v/>
      </c>
      <c r="AT31" s="62" t="str">
        <f>UPPER(IF(OR(G31="TCPL",G31="PRACTICAL - UG",G31="PRACTICAL - PG"),'Paste here'!AI31,"  -NA-  "))</f>
        <v xml:space="preserve">  -NA-  </v>
      </c>
      <c r="AU31" s="62" t="str">
        <f>IF(OR(G31="TCPL",G31="PRACTICAL - UG",G31="PRACTICAL - PG"),'Paste here'!AL31,"  -NA-  ")</f>
        <v xml:space="preserve">  -NA-  </v>
      </c>
      <c r="AV31" s="62" t="str">
        <f>IF(OR(G31="TCPL",G31="PRACTICAL - UG",G31="PRACTICAL - PG"),'Paste here'!AK31,"  -NA-  ")</f>
        <v xml:space="preserve">  -NA-  </v>
      </c>
      <c r="AW31" s="62" t="str">
        <f t="shared" si="2"/>
        <v xml:space="preserve">  -NA-  </v>
      </c>
      <c r="AX31" s="62" t="str">
        <f>IF(OR(G31="TCPL",G31="PRACTICAL - UG",G31="PRACTICAL - PG"),'Paste here'!AJ31,"  -NA-  ")</f>
        <v xml:space="preserve">  -NA-  </v>
      </c>
      <c r="AY31" s="62" t="str">
        <f>IF(OR(G31="TCPL",G31="PRACTICAL - UG",G31="PRACTICAL - PG"),'Paste here'!M31,"  -NA-  ")</f>
        <v xml:space="preserve">  -NA-  </v>
      </c>
      <c r="AZ31" s="62" t="str">
        <f>IF(OR(G31="TCPL",G31="PRACTICAL - UG",G31="PRACTICAL - PG"),'Paste here'!N31,"  -NA-  ")</f>
        <v xml:space="preserve">  -NA-  </v>
      </c>
      <c r="BA31" s="62" t="str">
        <f>IF(OR(G31="TCPL",G31="PRACTICAL - UG",G31="PRACTICAL - PG"),Skilled!K31,"  -NA-  ")</f>
        <v xml:space="preserve">  -NA-  </v>
      </c>
      <c r="BB31" s="62" t="str">
        <f>IF(OR(G31="TCPL",G31="PRACTICAL - UG",G31="PRACTICAL - PG"),'Paste here'!AM31,"  -NA-  ")</f>
        <v xml:space="preserve">  -NA-  </v>
      </c>
      <c r="BC31" s="62" t="str">
        <f>UPPER(IF(OR(G31="TCPL",G31="PRACTICAL - UG",G31="PRACTICAL - PG"),'Paste here'!AN31,"  -NA-  "))</f>
        <v xml:space="preserve">  -NA-  </v>
      </c>
      <c r="BD31" s="62" t="str">
        <f>UPPER(IF(OR(G31="TCPL",G31="PRACTICAL - UG",G31="PRACTICAL - PG"),'Paste here'!AO31,"  -NA-  "))</f>
        <v xml:space="preserve">  -NA-  </v>
      </c>
      <c r="BE31" s="62" t="str">
        <f>UPPER(IF(OR(G31="TCPL",G31="PRACTICAL - UG",G31="PRACTICAL - PG"),'Paste here'!AP31,"  -NA-  "))</f>
        <v xml:space="preserve">  -NA-  </v>
      </c>
      <c r="BF31" s="62" t="str">
        <f>IF(OR(G31="TCPL",G31="PRACTICAL - UG",G31="PRACTICAL - PG"),Skilled!L31,"")</f>
        <v/>
      </c>
      <c r="BG31" s="63"/>
      <c r="BH31" s="62" t="str">
        <f>IF(OR(AG31="ENGLISH",AG31="MBA"),"",IF(OR(G31="PRACTICAL - UG",G31="PRACTICAL - PG"),'Paste here'!AQ31,""))</f>
        <v/>
      </c>
      <c r="BI31" s="62" t="str">
        <f>UPPER(IF(OR(G31="PRACTICAL - UG",G31="PRACTICAL - PG"),'Paste here'!AR31,"  -NA-  "))</f>
        <v xml:space="preserve">  -NA-  </v>
      </c>
      <c r="BJ31" s="62" t="str">
        <f>IF(OR(G31="PRACTICAL - UG",G31="PRACTICAL - PG"),'Paste here'!AT31,"  -NA-  ")</f>
        <v xml:space="preserve">  -NA-  </v>
      </c>
      <c r="BK31" s="62" t="str">
        <f t="shared" si="3"/>
        <v xml:space="preserve">  -NA-  </v>
      </c>
      <c r="BL31" s="62" t="str">
        <f>IF(OR(G31="PRACTICAL - UG",G31="PRACTICAL - PG"),'Paste here'!AS31,"  -NA-  ")</f>
        <v xml:space="preserve">  -NA-  </v>
      </c>
      <c r="BM31" s="62" t="str">
        <f>IF(OR(G31="PRACTICAL - UG",G31="PRACTICAL - PG"),'Paste here'!M31,"  -NA-  ")</f>
        <v xml:space="preserve">  -NA-  </v>
      </c>
      <c r="BN31" s="62" t="str">
        <f>IF(OR(G31="PRACTICAL - UG",G31="PRACTICAL - PG"),'Paste here'!N31,"  -NA-  ")</f>
        <v xml:space="preserve">  -NA-  </v>
      </c>
      <c r="BO31" s="62" t="str">
        <f>IF(OR(AG31="ENGLISH",AG31="MBA"),"",IF(OR(G31="PRACTICAL - UG",G31="PRACTICAL - PG"),Technician!J31,"  -NA-  "))</f>
        <v xml:space="preserve">  -NA-  </v>
      </c>
      <c r="BP31" s="62" t="str">
        <f>IF(OR(G31="PRACTICAL - UG",G31="PRACTICAL - PG"),'Paste here'!AU31,"  -NA-  ")</f>
        <v xml:space="preserve">  -NA-  </v>
      </c>
      <c r="BQ31" s="62" t="str">
        <f>UPPER(IF(OR(,G31="PRACTICAL - UG",G31="PRACTICAL - PG"),'Paste here'!AV31,"  -NA-  "))</f>
        <v xml:space="preserve">  -NA-  </v>
      </c>
      <c r="BR31" s="62" t="str">
        <f>UPPER(IF(OR(G31="PRACTICAL - UG",G31="PRACTICAL - PG"),'Paste here'!AW31,"  -NA-  "))</f>
        <v xml:space="preserve">  -NA-  </v>
      </c>
      <c r="BS31" s="62" t="str">
        <f>UPPER(IF(OR(G31="PRACTICAL - UG",G31="PRACTICAL - PG"),'Paste here'!AX31,"  -NA-  "))</f>
        <v xml:space="preserve">  -NA-  </v>
      </c>
      <c r="BT31" s="39" t="str">
        <f>IF(OR(AG31="ENGLISH",AG31="MBA"),"",IF(OR(G31="PRACTICAL - UG",G31="PRACTICAL - PG"),Technician!L31,""))</f>
        <v/>
      </c>
    </row>
    <row r="32" spans="1:72" ht="21.75" customHeight="1" x14ac:dyDescent="0.25">
      <c r="A32" s="5">
        <f>'Paste here'!A32</f>
        <v>0</v>
      </c>
      <c r="B32" s="39">
        <f>'Paste here'!F32</f>
        <v>0</v>
      </c>
      <c r="C32" s="39">
        <f>'Paste here'!J32</f>
        <v>0</v>
      </c>
      <c r="D32" s="39">
        <f>'Paste here'!K32</f>
        <v>0</v>
      </c>
      <c r="E32" s="39" t="str">
        <f>UPPER('Paste here'!H32)</f>
        <v/>
      </c>
      <c r="F32" s="39">
        <f>'Paste here'!I32</f>
        <v>0</v>
      </c>
      <c r="G32" s="39">
        <f>'Paste here'!G32</f>
        <v>0</v>
      </c>
      <c r="H32" s="84">
        <f>'Paste here'!D32</f>
        <v>0</v>
      </c>
      <c r="I32" s="39">
        <f>'Paste here'!E32</f>
        <v>0</v>
      </c>
      <c r="J32" s="63"/>
      <c r="K32" s="39">
        <f>'Paste here'!O32</f>
        <v>0</v>
      </c>
      <c r="L32" s="67" t="str">
        <f>UPPER('Paste here'!P32)</f>
        <v/>
      </c>
      <c r="M32" s="39">
        <f>'Paste here'!S32</f>
        <v>0</v>
      </c>
      <c r="N32" s="39">
        <f>'Paste here'!R32</f>
        <v>0</v>
      </c>
      <c r="O32" s="39">
        <f>'Paste here'!T32</f>
        <v>0</v>
      </c>
      <c r="P32" s="5" t="e">
        <f>IF(VLOOKUP(O32,'Distance matrix'!B$2:C$238,2,FALSE)&lt;36,"&lt;35",VLOOKUP(O32,'Distance matrix'!B$2:C$238,2,FALSE))</f>
        <v>#N/A</v>
      </c>
      <c r="Q32" s="39">
        <f>'Paste here'!Q32</f>
        <v>0</v>
      </c>
      <c r="R32" s="39">
        <f>'Paste here'!M32</f>
        <v>0</v>
      </c>
      <c r="S32" s="39">
        <f>'Paste here'!N32</f>
        <v>0</v>
      </c>
      <c r="T32" s="65" t="e">
        <f>External!K32</f>
        <v>#N/A</v>
      </c>
      <c r="U32" s="62">
        <f>External!M32</f>
        <v>0</v>
      </c>
      <c r="V32" s="62">
        <f>External!L32</f>
        <v>0</v>
      </c>
      <c r="W32" s="62" t="e">
        <f>External!N32</f>
        <v>#N/A</v>
      </c>
      <c r="X32" s="39">
        <f>'Paste here'!U32</f>
        <v>0</v>
      </c>
      <c r="Y32" s="39" t="str">
        <f>UPPER('Paste here'!V32)</f>
        <v/>
      </c>
      <c r="Z32" s="39" t="str">
        <f>UPPER('Paste here'!W32)</f>
        <v/>
      </c>
      <c r="AA32" s="39" t="str">
        <f>UPPER('Paste here'!X32)</f>
        <v/>
      </c>
      <c r="AB32" s="39" t="e">
        <f>External!O32</f>
        <v>#VALUE!</v>
      </c>
      <c r="AC32" s="63"/>
      <c r="AD32" s="62">
        <f>'Paste here'!Y32</f>
        <v>0</v>
      </c>
      <c r="AE32" s="62" t="str">
        <f>UPPER('Paste here'!Z32)</f>
        <v/>
      </c>
      <c r="AF32" s="62">
        <f>'Paste here'!AC32</f>
        <v>0</v>
      </c>
      <c r="AG32" s="62">
        <f>'Paste here'!AB32</f>
        <v>0</v>
      </c>
      <c r="AH32" s="62" t="s">
        <v>47</v>
      </c>
      <c r="AI32" s="62">
        <f>'Paste here'!AA32</f>
        <v>0</v>
      </c>
      <c r="AJ32" s="62">
        <f>'Paste here'!M32</f>
        <v>0</v>
      </c>
      <c r="AK32" s="62">
        <f>'Paste here'!N32</f>
        <v>0</v>
      </c>
      <c r="AL32" s="62" t="e">
        <f>Internal!L32</f>
        <v>#N/A</v>
      </c>
      <c r="AM32" s="62">
        <f>'Paste here'!AD32</f>
        <v>0</v>
      </c>
      <c r="AN32" s="62" t="str">
        <f>UPPER('Paste here'!AE32)</f>
        <v/>
      </c>
      <c r="AO32" s="62" t="str">
        <f>UPPER('Paste here'!AF32)</f>
        <v/>
      </c>
      <c r="AP32" s="62" t="str">
        <f>UPPER('Paste here'!AG32)</f>
        <v/>
      </c>
      <c r="AQ32" s="62" t="e">
        <f>Internal!M32</f>
        <v>#VALUE!</v>
      </c>
      <c r="AR32" s="63"/>
      <c r="AS32" s="62" t="str">
        <f>IF(OR(G32="TCPL",G32="PRACTICAL - UG",G32="PRACTICAL - PG"),'Paste here'!AH32,"")</f>
        <v/>
      </c>
      <c r="AT32" s="62" t="str">
        <f>UPPER(IF(OR(G32="TCPL",G32="PRACTICAL - UG",G32="PRACTICAL - PG"),'Paste here'!AI32,"  -NA-  "))</f>
        <v xml:space="preserve">  -NA-  </v>
      </c>
      <c r="AU32" s="62" t="str">
        <f>IF(OR(G32="TCPL",G32="PRACTICAL - UG",G32="PRACTICAL - PG"),'Paste here'!AL32,"  -NA-  ")</f>
        <v xml:space="preserve">  -NA-  </v>
      </c>
      <c r="AV32" s="62" t="str">
        <f>IF(OR(G32="TCPL",G32="PRACTICAL - UG",G32="PRACTICAL - PG"),'Paste here'!AK32,"  -NA-  ")</f>
        <v xml:space="preserve">  -NA-  </v>
      </c>
      <c r="AW32" s="62" t="str">
        <f t="shared" si="2"/>
        <v xml:space="preserve">  -NA-  </v>
      </c>
      <c r="AX32" s="62" t="str">
        <f>IF(OR(G32="TCPL",G32="PRACTICAL - UG",G32="PRACTICAL - PG"),'Paste here'!AJ32,"  -NA-  ")</f>
        <v xml:space="preserve">  -NA-  </v>
      </c>
      <c r="AY32" s="62" t="str">
        <f>IF(OR(G32="TCPL",G32="PRACTICAL - UG",G32="PRACTICAL - PG"),'Paste here'!M32,"  -NA-  ")</f>
        <v xml:space="preserve">  -NA-  </v>
      </c>
      <c r="AZ32" s="62" t="str">
        <f>IF(OR(G32="TCPL",G32="PRACTICAL - UG",G32="PRACTICAL - PG"),'Paste here'!N32,"  -NA-  ")</f>
        <v xml:space="preserve">  -NA-  </v>
      </c>
      <c r="BA32" s="62" t="str">
        <f>IF(OR(G32="TCPL",G32="PRACTICAL - UG",G32="PRACTICAL - PG"),Skilled!K32,"  -NA-  ")</f>
        <v xml:space="preserve">  -NA-  </v>
      </c>
      <c r="BB32" s="62" t="str">
        <f>IF(OR(G32="TCPL",G32="PRACTICAL - UG",G32="PRACTICAL - PG"),'Paste here'!AM32,"  -NA-  ")</f>
        <v xml:space="preserve">  -NA-  </v>
      </c>
      <c r="BC32" s="62" t="str">
        <f>UPPER(IF(OR(G32="TCPL",G32="PRACTICAL - UG",G32="PRACTICAL - PG"),'Paste here'!AN32,"  -NA-  "))</f>
        <v xml:space="preserve">  -NA-  </v>
      </c>
      <c r="BD32" s="62" t="str">
        <f>UPPER(IF(OR(G32="TCPL",G32="PRACTICAL - UG",G32="PRACTICAL - PG"),'Paste here'!AO32,"  -NA-  "))</f>
        <v xml:space="preserve">  -NA-  </v>
      </c>
      <c r="BE32" s="62" t="str">
        <f>UPPER(IF(OR(G32="TCPL",G32="PRACTICAL - UG",G32="PRACTICAL - PG"),'Paste here'!AP32,"  -NA-  "))</f>
        <v xml:space="preserve">  -NA-  </v>
      </c>
      <c r="BF32" s="62" t="str">
        <f>IF(OR(G32="TCPL",G32="PRACTICAL - UG",G32="PRACTICAL - PG"),Skilled!L32,"")</f>
        <v/>
      </c>
      <c r="BG32" s="63"/>
      <c r="BH32" s="62" t="str">
        <f>IF(OR(AG32="ENGLISH",AG32="MBA"),"",IF(OR(G32="PRACTICAL - UG",G32="PRACTICAL - PG"),'Paste here'!AQ32,""))</f>
        <v/>
      </c>
      <c r="BI32" s="62" t="str">
        <f>UPPER(IF(OR(G32="PRACTICAL - UG",G32="PRACTICAL - PG"),'Paste here'!AR32,"  -NA-  "))</f>
        <v xml:space="preserve">  -NA-  </v>
      </c>
      <c r="BJ32" s="62" t="str">
        <f>IF(OR(G32="PRACTICAL - UG",G32="PRACTICAL - PG"),'Paste here'!AT32,"  -NA-  ")</f>
        <v xml:space="preserve">  -NA-  </v>
      </c>
      <c r="BK32" s="62" t="str">
        <f t="shared" si="3"/>
        <v xml:space="preserve">  -NA-  </v>
      </c>
      <c r="BL32" s="62" t="str">
        <f>IF(OR(G32="PRACTICAL - UG",G32="PRACTICAL - PG"),'Paste here'!AS32,"  -NA-  ")</f>
        <v xml:space="preserve">  -NA-  </v>
      </c>
      <c r="BM32" s="62" t="str">
        <f>IF(OR(G32="PRACTICAL - UG",G32="PRACTICAL - PG"),'Paste here'!M32,"  -NA-  ")</f>
        <v xml:space="preserve">  -NA-  </v>
      </c>
      <c r="BN32" s="62" t="str">
        <f>IF(OR(G32="PRACTICAL - UG",G32="PRACTICAL - PG"),'Paste here'!N32,"  -NA-  ")</f>
        <v xml:space="preserve">  -NA-  </v>
      </c>
      <c r="BO32" s="62" t="str">
        <f>IF(OR(AG32="ENGLISH",AG32="MBA"),"",IF(OR(G32="PRACTICAL - UG",G32="PRACTICAL - PG"),Technician!J32,"  -NA-  "))</f>
        <v xml:space="preserve">  -NA-  </v>
      </c>
      <c r="BP32" s="62" t="str">
        <f>IF(OR(G32="PRACTICAL - UG",G32="PRACTICAL - PG"),'Paste here'!AU32,"  -NA-  ")</f>
        <v xml:space="preserve">  -NA-  </v>
      </c>
      <c r="BQ32" s="62" t="str">
        <f>UPPER(IF(OR(,G32="PRACTICAL - UG",G32="PRACTICAL - PG"),'Paste here'!AV32,"  -NA-  "))</f>
        <v xml:space="preserve">  -NA-  </v>
      </c>
      <c r="BR32" s="62" t="str">
        <f>UPPER(IF(OR(G32="PRACTICAL - UG",G32="PRACTICAL - PG"),'Paste here'!AW32,"  -NA-  "))</f>
        <v xml:space="preserve">  -NA-  </v>
      </c>
      <c r="BS32" s="62" t="str">
        <f>UPPER(IF(OR(G32="PRACTICAL - UG",G32="PRACTICAL - PG"),'Paste here'!AX32,"  -NA-  "))</f>
        <v xml:space="preserve">  -NA-  </v>
      </c>
      <c r="BT32" s="39" t="str">
        <f>IF(OR(AG32="ENGLISH",AG32="MBA"),"",IF(OR(G32="PRACTICAL - UG",G32="PRACTICAL - PG"),Technician!L32,""))</f>
        <v/>
      </c>
    </row>
    <row r="33" spans="1:72" ht="21.75" customHeight="1" x14ac:dyDescent="0.25">
      <c r="A33" s="5">
        <f>'Paste here'!A33</f>
        <v>0</v>
      </c>
      <c r="B33" s="39">
        <f>'Paste here'!F33</f>
        <v>0</v>
      </c>
      <c r="C33" s="39">
        <f>'Paste here'!J33</f>
        <v>0</v>
      </c>
      <c r="D33" s="39">
        <f>'Paste here'!K33</f>
        <v>0</v>
      </c>
      <c r="E33" s="39" t="str">
        <f>UPPER('Paste here'!H33)</f>
        <v/>
      </c>
      <c r="F33" s="39">
        <f>'Paste here'!I33</f>
        <v>0</v>
      </c>
      <c r="G33" s="39">
        <f>'Paste here'!G33</f>
        <v>0</v>
      </c>
      <c r="H33" s="84">
        <f>'Paste here'!D33</f>
        <v>0</v>
      </c>
      <c r="I33" s="39">
        <f>'Paste here'!E33</f>
        <v>0</v>
      </c>
      <c r="J33" s="63"/>
      <c r="K33" s="39">
        <f>'Paste here'!O33</f>
        <v>0</v>
      </c>
      <c r="L33" s="67" t="str">
        <f>UPPER('Paste here'!P33)</f>
        <v/>
      </c>
      <c r="M33" s="39">
        <f>'Paste here'!S33</f>
        <v>0</v>
      </c>
      <c r="N33" s="39">
        <f>'Paste here'!R33</f>
        <v>0</v>
      </c>
      <c r="O33" s="39">
        <f>'Paste here'!T33</f>
        <v>0</v>
      </c>
      <c r="P33" s="5" t="e">
        <f>IF(VLOOKUP(O33,'Distance matrix'!B$2:C$238,2,FALSE)&lt;36,"&lt;35",VLOOKUP(O33,'Distance matrix'!B$2:C$238,2,FALSE))</f>
        <v>#N/A</v>
      </c>
      <c r="Q33" s="39">
        <f>'Paste here'!Q33</f>
        <v>0</v>
      </c>
      <c r="R33" s="39">
        <f>'Paste here'!M33</f>
        <v>0</v>
      </c>
      <c r="S33" s="39">
        <f>'Paste here'!N33</f>
        <v>0</v>
      </c>
      <c r="T33" s="65" t="e">
        <f>External!K33</f>
        <v>#N/A</v>
      </c>
      <c r="U33" s="62">
        <f>External!M33</f>
        <v>0</v>
      </c>
      <c r="V33" s="62">
        <f>External!L33</f>
        <v>0</v>
      </c>
      <c r="W33" s="62" t="e">
        <f>External!N33</f>
        <v>#N/A</v>
      </c>
      <c r="X33" s="39">
        <f>'Paste here'!U33</f>
        <v>0</v>
      </c>
      <c r="Y33" s="39" t="str">
        <f>UPPER('Paste here'!V33)</f>
        <v/>
      </c>
      <c r="Z33" s="39" t="str">
        <f>UPPER('Paste here'!W33)</f>
        <v/>
      </c>
      <c r="AA33" s="39" t="str">
        <f>UPPER('Paste here'!X33)</f>
        <v/>
      </c>
      <c r="AB33" s="39" t="e">
        <f>External!O33</f>
        <v>#VALUE!</v>
      </c>
      <c r="AC33" s="63"/>
      <c r="AD33" s="62">
        <f>'Paste here'!Y33</f>
        <v>0</v>
      </c>
      <c r="AE33" s="62" t="str">
        <f>UPPER('Paste here'!Z33)</f>
        <v/>
      </c>
      <c r="AF33" s="62">
        <f>'Paste here'!AC33</f>
        <v>0</v>
      </c>
      <c r="AG33" s="62">
        <f>'Paste here'!AB33</f>
        <v>0</v>
      </c>
      <c r="AH33" s="62" t="s">
        <v>47</v>
      </c>
      <c r="AI33" s="62">
        <f>'Paste here'!AA33</f>
        <v>0</v>
      </c>
      <c r="AJ33" s="62">
        <f>'Paste here'!M33</f>
        <v>0</v>
      </c>
      <c r="AK33" s="62">
        <f>'Paste here'!N33</f>
        <v>0</v>
      </c>
      <c r="AL33" s="62" t="e">
        <f>Internal!L33</f>
        <v>#N/A</v>
      </c>
      <c r="AM33" s="62">
        <f>'Paste here'!AD33</f>
        <v>0</v>
      </c>
      <c r="AN33" s="62" t="str">
        <f>UPPER('Paste here'!AE33)</f>
        <v/>
      </c>
      <c r="AO33" s="62" t="str">
        <f>UPPER('Paste here'!AF33)</f>
        <v/>
      </c>
      <c r="AP33" s="62" t="str">
        <f>UPPER('Paste here'!AG33)</f>
        <v/>
      </c>
      <c r="AQ33" s="62" t="e">
        <f>Internal!M33</f>
        <v>#VALUE!</v>
      </c>
      <c r="AR33" s="63"/>
      <c r="AS33" s="62" t="str">
        <f>IF(OR(G33="TCPL",G33="PRACTICAL - UG",G33="PRACTICAL - PG"),'Paste here'!AH33,"")</f>
        <v/>
      </c>
      <c r="AT33" s="62" t="str">
        <f>UPPER(IF(OR(G33="TCPL",G33="PRACTICAL - UG",G33="PRACTICAL - PG"),'Paste here'!AI33,"  -NA-  "))</f>
        <v xml:space="preserve">  -NA-  </v>
      </c>
      <c r="AU33" s="62" t="str">
        <f>IF(OR(G33="TCPL",G33="PRACTICAL - UG",G33="PRACTICAL - PG"),'Paste here'!AL33,"  -NA-  ")</f>
        <v xml:space="preserve">  -NA-  </v>
      </c>
      <c r="AV33" s="62" t="str">
        <f>IF(OR(G33="TCPL",G33="PRACTICAL - UG",G33="PRACTICAL - PG"),'Paste here'!AK33,"  -NA-  ")</f>
        <v xml:space="preserve">  -NA-  </v>
      </c>
      <c r="AW33" s="62" t="str">
        <f t="shared" si="2"/>
        <v xml:space="preserve">  -NA-  </v>
      </c>
      <c r="AX33" s="62" t="str">
        <f>IF(OR(G33="TCPL",G33="PRACTICAL - UG",G33="PRACTICAL - PG"),'Paste here'!AJ33,"  -NA-  ")</f>
        <v xml:space="preserve">  -NA-  </v>
      </c>
      <c r="AY33" s="62" t="str">
        <f>IF(OR(G33="TCPL",G33="PRACTICAL - UG",G33="PRACTICAL - PG"),'Paste here'!M33,"  -NA-  ")</f>
        <v xml:space="preserve">  -NA-  </v>
      </c>
      <c r="AZ33" s="62" t="str">
        <f>IF(OR(G33="TCPL",G33="PRACTICAL - UG",G33="PRACTICAL - PG"),'Paste here'!N33,"  -NA-  ")</f>
        <v xml:space="preserve">  -NA-  </v>
      </c>
      <c r="BA33" s="62" t="str">
        <f>IF(OR(G33="TCPL",G33="PRACTICAL - UG",G33="PRACTICAL - PG"),Skilled!K33,"  -NA-  ")</f>
        <v xml:space="preserve">  -NA-  </v>
      </c>
      <c r="BB33" s="62" t="str">
        <f>IF(OR(G33="TCPL",G33="PRACTICAL - UG",G33="PRACTICAL - PG"),'Paste here'!AM33,"  -NA-  ")</f>
        <v xml:space="preserve">  -NA-  </v>
      </c>
      <c r="BC33" s="62" t="str">
        <f>UPPER(IF(OR(G33="TCPL",G33="PRACTICAL - UG",G33="PRACTICAL - PG"),'Paste here'!AN33,"  -NA-  "))</f>
        <v xml:space="preserve">  -NA-  </v>
      </c>
      <c r="BD33" s="62" t="str">
        <f>UPPER(IF(OR(G33="TCPL",G33="PRACTICAL - UG",G33="PRACTICAL - PG"),'Paste here'!AO33,"  -NA-  "))</f>
        <v xml:space="preserve">  -NA-  </v>
      </c>
      <c r="BE33" s="62" t="str">
        <f>UPPER(IF(OR(G33="TCPL",G33="PRACTICAL - UG",G33="PRACTICAL - PG"),'Paste here'!AP33,"  -NA-  "))</f>
        <v xml:space="preserve">  -NA-  </v>
      </c>
      <c r="BF33" s="62" t="str">
        <f>IF(OR(G33="TCPL",G33="PRACTICAL - UG",G33="PRACTICAL - PG"),Skilled!L33,"")</f>
        <v/>
      </c>
      <c r="BG33" s="63"/>
      <c r="BH33" s="62" t="str">
        <f>IF(OR(AG33="ENGLISH",AG33="MBA"),"",IF(OR(G33="PRACTICAL - UG",G33="PRACTICAL - PG"),'Paste here'!AQ33,""))</f>
        <v/>
      </c>
      <c r="BI33" s="62" t="str">
        <f>UPPER(IF(OR(G33="PRACTICAL - UG",G33="PRACTICAL - PG"),'Paste here'!AR33,"  -NA-  "))</f>
        <v xml:space="preserve">  -NA-  </v>
      </c>
      <c r="BJ33" s="62" t="str">
        <f>IF(OR(G33="PRACTICAL - UG",G33="PRACTICAL - PG"),'Paste here'!AT33,"  -NA-  ")</f>
        <v xml:space="preserve">  -NA-  </v>
      </c>
      <c r="BK33" s="62" t="str">
        <f t="shared" si="3"/>
        <v xml:space="preserve">  -NA-  </v>
      </c>
      <c r="BL33" s="62" t="str">
        <f>IF(OR(G33="PRACTICAL - UG",G33="PRACTICAL - PG"),'Paste here'!AS33,"  -NA-  ")</f>
        <v xml:space="preserve">  -NA-  </v>
      </c>
      <c r="BM33" s="62" t="str">
        <f>IF(OR(G33="PRACTICAL - UG",G33="PRACTICAL - PG"),'Paste here'!M33,"  -NA-  ")</f>
        <v xml:space="preserve">  -NA-  </v>
      </c>
      <c r="BN33" s="62" t="str">
        <f>IF(OR(G33="PRACTICAL - UG",G33="PRACTICAL - PG"),'Paste here'!N33,"  -NA-  ")</f>
        <v xml:space="preserve">  -NA-  </v>
      </c>
      <c r="BO33" s="62" t="str">
        <f>IF(OR(AG33="ENGLISH",AG33="MBA"),"",IF(OR(G33="PRACTICAL - UG",G33="PRACTICAL - PG"),Technician!J33,"  -NA-  "))</f>
        <v xml:space="preserve">  -NA-  </v>
      </c>
      <c r="BP33" s="62" t="str">
        <f>IF(OR(G33="PRACTICAL - UG",G33="PRACTICAL - PG"),'Paste here'!AU33,"  -NA-  ")</f>
        <v xml:space="preserve">  -NA-  </v>
      </c>
      <c r="BQ33" s="62" t="str">
        <f>UPPER(IF(OR(,G33="PRACTICAL - UG",G33="PRACTICAL - PG"),'Paste here'!AV33,"  -NA-  "))</f>
        <v xml:space="preserve">  -NA-  </v>
      </c>
      <c r="BR33" s="62" t="str">
        <f>UPPER(IF(OR(G33="PRACTICAL - UG",G33="PRACTICAL - PG"),'Paste here'!AW33,"  -NA-  "))</f>
        <v xml:space="preserve">  -NA-  </v>
      </c>
      <c r="BS33" s="62" t="str">
        <f>UPPER(IF(OR(G33="PRACTICAL - UG",G33="PRACTICAL - PG"),'Paste here'!AX33,"  -NA-  "))</f>
        <v xml:space="preserve">  -NA-  </v>
      </c>
      <c r="BT33" s="39" t="str">
        <f>IF(OR(AG33="ENGLISH",AG33="MBA"),"",IF(OR(G33="PRACTICAL - UG",G33="PRACTICAL - PG"),Technician!L33,""))</f>
        <v/>
      </c>
    </row>
    <row r="34" spans="1:72" ht="21.75" customHeight="1" x14ac:dyDescent="0.25">
      <c r="A34" s="5">
        <f>'Paste here'!A34</f>
        <v>0</v>
      </c>
      <c r="B34" s="39">
        <f>'Paste here'!F34</f>
        <v>0</v>
      </c>
      <c r="C34" s="39">
        <f>'Paste here'!J34</f>
        <v>0</v>
      </c>
      <c r="D34" s="39">
        <f>'Paste here'!K34</f>
        <v>0</v>
      </c>
      <c r="E34" s="39" t="str">
        <f>UPPER('Paste here'!H34)</f>
        <v/>
      </c>
      <c r="F34" s="39">
        <f>'Paste here'!I34</f>
        <v>0</v>
      </c>
      <c r="G34" s="39">
        <f>'Paste here'!G34</f>
        <v>0</v>
      </c>
      <c r="H34" s="84">
        <f>'Paste here'!D34</f>
        <v>0</v>
      </c>
      <c r="I34" s="39">
        <f>'Paste here'!E34</f>
        <v>0</v>
      </c>
      <c r="J34" s="63"/>
      <c r="K34" s="39">
        <f>'Paste here'!O34</f>
        <v>0</v>
      </c>
      <c r="L34" s="67" t="str">
        <f>UPPER('Paste here'!P34)</f>
        <v/>
      </c>
      <c r="M34" s="39">
        <f>'Paste here'!S34</f>
        <v>0</v>
      </c>
      <c r="N34" s="39">
        <f>'Paste here'!R34</f>
        <v>0</v>
      </c>
      <c r="O34" s="39">
        <f>'Paste here'!T34</f>
        <v>0</v>
      </c>
      <c r="P34" s="5" t="e">
        <f>IF(VLOOKUP(O34,'Distance matrix'!B$2:C$238,2,FALSE)&lt;36,"&lt;35",VLOOKUP(O34,'Distance matrix'!B$2:C$238,2,FALSE))</f>
        <v>#N/A</v>
      </c>
      <c r="Q34" s="39">
        <f>'Paste here'!Q34</f>
        <v>0</v>
      </c>
      <c r="R34" s="39">
        <f>'Paste here'!M34</f>
        <v>0</v>
      </c>
      <c r="S34" s="39">
        <f>'Paste here'!N34</f>
        <v>0</v>
      </c>
      <c r="T34" s="65" t="e">
        <f>External!K34</f>
        <v>#N/A</v>
      </c>
      <c r="U34" s="62">
        <f>External!M34</f>
        <v>0</v>
      </c>
      <c r="V34" s="62">
        <f>External!L34</f>
        <v>0</v>
      </c>
      <c r="W34" s="62" t="e">
        <f>External!N34</f>
        <v>#N/A</v>
      </c>
      <c r="X34" s="39">
        <f>'Paste here'!U34</f>
        <v>0</v>
      </c>
      <c r="Y34" s="39" t="str">
        <f>UPPER('Paste here'!V34)</f>
        <v/>
      </c>
      <c r="Z34" s="39" t="str">
        <f>UPPER('Paste here'!W34)</f>
        <v/>
      </c>
      <c r="AA34" s="39" t="str">
        <f>UPPER('Paste here'!X34)</f>
        <v/>
      </c>
      <c r="AB34" s="39" t="e">
        <f>External!O34</f>
        <v>#VALUE!</v>
      </c>
      <c r="AC34" s="63"/>
      <c r="AD34" s="62">
        <f>'Paste here'!Y34</f>
        <v>0</v>
      </c>
      <c r="AE34" s="62" t="str">
        <f>UPPER('Paste here'!Z34)</f>
        <v/>
      </c>
      <c r="AF34" s="62">
        <f>'Paste here'!AC34</f>
        <v>0</v>
      </c>
      <c r="AG34" s="62">
        <f>'Paste here'!AB34</f>
        <v>0</v>
      </c>
      <c r="AH34" s="62" t="s">
        <v>47</v>
      </c>
      <c r="AI34" s="62">
        <f>'Paste here'!AA34</f>
        <v>0</v>
      </c>
      <c r="AJ34" s="62">
        <f>'Paste here'!M34</f>
        <v>0</v>
      </c>
      <c r="AK34" s="62">
        <f>'Paste here'!N34</f>
        <v>0</v>
      </c>
      <c r="AL34" s="62" t="e">
        <f>Internal!L34</f>
        <v>#N/A</v>
      </c>
      <c r="AM34" s="62">
        <f>'Paste here'!AD34</f>
        <v>0</v>
      </c>
      <c r="AN34" s="62" t="str">
        <f>UPPER('Paste here'!AE34)</f>
        <v/>
      </c>
      <c r="AO34" s="62" t="str">
        <f>UPPER('Paste here'!AF34)</f>
        <v/>
      </c>
      <c r="AP34" s="62" t="str">
        <f>UPPER('Paste here'!AG34)</f>
        <v/>
      </c>
      <c r="AQ34" s="62" t="e">
        <f>Internal!M34</f>
        <v>#VALUE!</v>
      </c>
      <c r="AR34" s="63"/>
      <c r="AS34" s="62" t="str">
        <f>IF(OR(G34="TCPL",G34="PRACTICAL - UG",G34="PRACTICAL - PG"),'Paste here'!AH34,"")</f>
        <v/>
      </c>
      <c r="AT34" s="62" t="str">
        <f>UPPER(IF(OR(G34="TCPL",G34="PRACTICAL - UG",G34="PRACTICAL - PG"),'Paste here'!AI34,"  -NA-  "))</f>
        <v xml:space="preserve">  -NA-  </v>
      </c>
      <c r="AU34" s="62" t="str">
        <f>IF(OR(G34="TCPL",G34="PRACTICAL - UG",G34="PRACTICAL - PG"),'Paste here'!AL34,"  -NA-  ")</f>
        <v xml:space="preserve">  -NA-  </v>
      </c>
      <c r="AV34" s="62" t="str">
        <f>IF(OR(G34="TCPL",G34="PRACTICAL - UG",G34="PRACTICAL - PG"),'Paste here'!AK34,"  -NA-  ")</f>
        <v xml:space="preserve">  -NA-  </v>
      </c>
      <c r="AW34" s="62" t="str">
        <f t="shared" si="2"/>
        <v xml:space="preserve">  -NA-  </v>
      </c>
      <c r="AX34" s="62" t="str">
        <f>IF(OR(G34="TCPL",G34="PRACTICAL - UG",G34="PRACTICAL - PG"),'Paste here'!AJ34,"  -NA-  ")</f>
        <v xml:space="preserve">  -NA-  </v>
      </c>
      <c r="AY34" s="62" t="str">
        <f>IF(OR(G34="TCPL",G34="PRACTICAL - UG",G34="PRACTICAL - PG"),'Paste here'!M34,"  -NA-  ")</f>
        <v xml:space="preserve">  -NA-  </v>
      </c>
      <c r="AZ34" s="62" t="str">
        <f>IF(OR(G34="TCPL",G34="PRACTICAL - UG",G34="PRACTICAL - PG"),'Paste here'!N34,"  -NA-  ")</f>
        <v xml:space="preserve">  -NA-  </v>
      </c>
      <c r="BA34" s="62" t="str">
        <f>IF(OR(G34="TCPL",G34="PRACTICAL - UG",G34="PRACTICAL - PG"),Skilled!K34,"  -NA-  ")</f>
        <v xml:space="preserve">  -NA-  </v>
      </c>
      <c r="BB34" s="62" t="str">
        <f>IF(OR(G34="TCPL",G34="PRACTICAL - UG",G34="PRACTICAL - PG"),'Paste here'!AM34,"  -NA-  ")</f>
        <v xml:space="preserve">  -NA-  </v>
      </c>
      <c r="BC34" s="62" t="str">
        <f>UPPER(IF(OR(G34="TCPL",G34="PRACTICAL - UG",G34="PRACTICAL - PG"),'Paste here'!AN34,"  -NA-  "))</f>
        <v xml:space="preserve">  -NA-  </v>
      </c>
      <c r="BD34" s="62" t="str">
        <f>UPPER(IF(OR(G34="TCPL",G34="PRACTICAL - UG",G34="PRACTICAL - PG"),'Paste here'!AO34,"  -NA-  "))</f>
        <v xml:space="preserve">  -NA-  </v>
      </c>
      <c r="BE34" s="62" t="str">
        <f>UPPER(IF(OR(G34="TCPL",G34="PRACTICAL - UG",G34="PRACTICAL - PG"),'Paste here'!AP34,"  -NA-  "))</f>
        <v xml:space="preserve">  -NA-  </v>
      </c>
      <c r="BF34" s="62" t="str">
        <f>IF(OR(G34="TCPL",G34="PRACTICAL - UG",G34="PRACTICAL - PG"),Skilled!L34,"")</f>
        <v/>
      </c>
      <c r="BG34" s="63"/>
      <c r="BH34" s="62" t="str">
        <f>IF(OR(AG34="ENGLISH",AG34="MBA"),"",IF(OR(G34="PRACTICAL - UG",G34="PRACTICAL - PG"),'Paste here'!AQ34,""))</f>
        <v/>
      </c>
      <c r="BI34" s="62" t="str">
        <f>UPPER(IF(OR(G34="PRACTICAL - UG",G34="PRACTICAL - PG"),'Paste here'!AR34,"  -NA-  "))</f>
        <v xml:space="preserve">  -NA-  </v>
      </c>
      <c r="BJ34" s="62" t="str">
        <f>IF(OR(G34="PRACTICAL - UG",G34="PRACTICAL - PG"),'Paste here'!AT34,"  -NA-  ")</f>
        <v xml:space="preserve">  -NA-  </v>
      </c>
      <c r="BK34" s="62" t="str">
        <f t="shared" si="3"/>
        <v xml:space="preserve">  -NA-  </v>
      </c>
      <c r="BL34" s="62" t="str">
        <f>IF(OR(G34="PRACTICAL - UG",G34="PRACTICAL - PG"),'Paste here'!AS34,"  -NA-  ")</f>
        <v xml:space="preserve">  -NA-  </v>
      </c>
      <c r="BM34" s="62" t="str">
        <f>IF(OR(G34="PRACTICAL - UG",G34="PRACTICAL - PG"),'Paste here'!M34,"  -NA-  ")</f>
        <v xml:space="preserve">  -NA-  </v>
      </c>
      <c r="BN34" s="62" t="str">
        <f>IF(OR(G34="PRACTICAL - UG",G34="PRACTICAL - PG"),'Paste here'!N34,"  -NA-  ")</f>
        <v xml:space="preserve">  -NA-  </v>
      </c>
      <c r="BO34" s="62" t="str">
        <f>IF(OR(AG34="ENGLISH",AG34="MBA"),"",IF(OR(G34="PRACTICAL - UG",G34="PRACTICAL - PG"),Technician!J34,"  -NA-  "))</f>
        <v xml:space="preserve">  -NA-  </v>
      </c>
      <c r="BP34" s="62" t="str">
        <f>IF(OR(G34="PRACTICAL - UG",G34="PRACTICAL - PG"),'Paste here'!AU34,"  -NA-  ")</f>
        <v xml:space="preserve">  -NA-  </v>
      </c>
      <c r="BQ34" s="62" t="str">
        <f>UPPER(IF(OR(,G34="PRACTICAL - UG",G34="PRACTICAL - PG"),'Paste here'!AV34,"  -NA-  "))</f>
        <v xml:space="preserve">  -NA-  </v>
      </c>
      <c r="BR34" s="62" t="str">
        <f>UPPER(IF(OR(G34="PRACTICAL - UG",G34="PRACTICAL - PG"),'Paste here'!AW34,"  -NA-  "))</f>
        <v xml:space="preserve">  -NA-  </v>
      </c>
      <c r="BS34" s="62" t="str">
        <f>UPPER(IF(OR(G34="PRACTICAL - UG",G34="PRACTICAL - PG"),'Paste here'!AX34,"  -NA-  "))</f>
        <v xml:space="preserve">  -NA-  </v>
      </c>
      <c r="BT34" s="39" t="str">
        <f>IF(OR(AG34="ENGLISH",AG34="MBA"),"",IF(OR(G34="PRACTICAL - UG",G34="PRACTICAL - PG"),Technician!L34,""))</f>
        <v/>
      </c>
    </row>
    <row r="35" spans="1:72" ht="21.75" customHeight="1" x14ac:dyDescent="0.25">
      <c r="A35" s="5" t="str">
        <f>'Paste here'!A35</f>
        <v>L40</v>
      </c>
      <c r="B35" s="39">
        <f>'Paste here'!F35</f>
        <v>0</v>
      </c>
      <c r="C35" s="39">
        <f>'Paste here'!J35</f>
        <v>0</v>
      </c>
      <c r="D35" s="39">
        <f>'Paste here'!K35</f>
        <v>0</v>
      </c>
      <c r="E35" s="39" t="str">
        <f>UPPER('Paste here'!H35)</f>
        <v/>
      </c>
      <c r="F35" s="39">
        <f>'Paste here'!I35</f>
        <v>0</v>
      </c>
      <c r="G35" s="39">
        <f>'Paste here'!G35</f>
        <v>0</v>
      </c>
      <c r="H35" s="84">
        <f>'Paste here'!D35</f>
        <v>0</v>
      </c>
      <c r="I35" s="39">
        <f>'Paste here'!E35</f>
        <v>0</v>
      </c>
      <c r="J35" s="63"/>
      <c r="K35" s="39">
        <f>'Paste here'!O35</f>
        <v>0</v>
      </c>
      <c r="L35" s="67" t="str">
        <f>UPPER('Paste here'!P35)</f>
        <v/>
      </c>
      <c r="M35" s="39">
        <f>'Paste here'!S35</f>
        <v>0</v>
      </c>
      <c r="N35" s="39">
        <f>'Paste here'!R35</f>
        <v>0</v>
      </c>
      <c r="O35" s="39">
        <f>'Paste here'!T35</f>
        <v>0</v>
      </c>
      <c r="P35" s="5" t="e">
        <f>IF(VLOOKUP(O35,'Distance matrix'!B$2:C$238,2,FALSE)&lt;36,"&lt;35",VLOOKUP(O35,'Distance matrix'!B$2:C$238,2,FALSE))</f>
        <v>#N/A</v>
      </c>
      <c r="Q35" s="39">
        <f>'Paste here'!Q35</f>
        <v>0</v>
      </c>
      <c r="R35" s="39">
        <f>'Paste here'!M35</f>
        <v>0</v>
      </c>
      <c r="S35" s="39">
        <f>'Paste here'!N35</f>
        <v>0</v>
      </c>
      <c r="T35" s="65" t="e">
        <f>External!K35</f>
        <v>#N/A</v>
      </c>
      <c r="U35" s="62">
        <f>External!M35</f>
        <v>0</v>
      </c>
      <c r="V35" s="62">
        <f>External!L35</f>
        <v>0</v>
      </c>
      <c r="W35" s="62" t="e">
        <f>External!N35</f>
        <v>#N/A</v>
      </c>
      <c r="X35" s="39">
        <f>'Paste here'!U35</f>
        <v>0</v>
      </c>
      <c r="Y35" s="39" t="str">
        <f>UPPER('Paste here'!V35)</f>
        <v/>
      </c>
      <c r="Z35" s="39" t="str">
        <f>UPPER('Paste here'!W35)</f>
        <v/>
      </c>
      <c r="AA35" s="39" t="str">
        <f>UPPER('Paste here'!X35)</f>
        <v/>
      </c>
      <c r="AB35" s="39" t="e">
        <f>External!O35</f>
        <v>#VALUE!</v>
      </c>
      <c r="AC35" s="63"/>
      <c r="AD35" s="62">
        <f>'Paste here'!Y35</f>
        <v>0</v>
      </c>
      <c r="AE35" s="62" t="str">
        <f>UPPER('Paste here'!Z35)</f>
        <v/>
      </c>
      <c r="AF35" s="62">
        <f>'Paste here'!AC35</f>
        <v>0</v>
      </c>
      <c r="AG35" s="62">
        <f>'Paste here'!AB35</f>
        <v>0</v>
      </c>
      <c r="AH35" s="62" t="s">
        <v>47</v>
      </c>
      <c r="AI35" s="62">
        <f>'Paste here'!AA35</f>
        <v>0</v>
      </c>
      <c r="AJ35" s="62">
        <f>'Paste here'!M35</f>
        <v>0</v>
      </c>
      <c r="AK35" s="62">
        <f>'Paste here'!N35</f>
        <v>0</v>
      </c>
      <c r="AL35" s="62" t="e">
        <f>Internal!L35</f>
        <v>#N/A</v>
      </c>
      <c r="AM35" s="62">
        <f>'Paste here'!AD35</f>
        <v>0</v>
      </c>
      <c r="AN35" s="62" t="str">
        <f>UPPER('Paste here'!AE35)</f>
        <v/>
      </c>
      <c r="AO35" s="62" t="str">
        <f>UPPER('Paste here'!AF35)</f>
        <v/>
      </c>
      <c r="AP35" s="62" t="str">
        <f>UPPER('Paste here'!AG35)</f>
        <v/>
      </c>
      <c r="AQ35" s="62" t="e">
        <f>Internal!M35</f>
        <v>#VALUE!</v>
      </c>
      <c r="AR35" s="63"/>
      <c r="AS35" s="62" t="str">
        <f>IF(OR(G35="TCPL",G35="PRACTICAL - UG",G35="PRACTICAL - PG"),'Paste here'!AH35,"")</f>
        <v/>
      </c>
      <c r="AT35" s="62" t="str">
        <f>UPPER(IF(OR(G35="TCPL",G35="PRACTICAL - UG",G35="PRACTICAL - PG"),'Paste here'!AI35,"  -NA-  "))</f>
        <v xml:space="preserve">  -NA-  </v>
      </c>
      <c r="AU35" s="62" t="str">
        <f>IF(OR(G35="TCPL",G35="PRACTICAL - UG",G35="PRACTICAL - PG"),'Paste here'!AL35,"  -NA-  ")</f>
        <v xml:space="preserve">  -NA-  </v>
      </c>
      <c r="AV35" s="62" t="str">
        <f>IF(OR(G35="TCPL",G35="PRACTICAL - UG",G35="PRACTICAL - PG"),'Paste here'!AK35,"  -NA-  ")</f>
        <v xml:space="preserve">  -NA-  </v>
      </c>
      <c r="AW35" s="62" t="str">
        <f t="shared" si="2"/>
        <v xml:space="preserve">  -NA-  </v>
      </c>
      <c r="AX35" s="62" t="str">
        <f>IF(OR(G35="TCPL",G35="PRACTICAL - UG",G35="PRACTICAL - PG"),'Paste here'!AJ35,"  -NA-  ")</f>
        <v xml:space="preserve">  -NA-  </v>
      </c>
      <c r="AY35" s="62" t="str">
        <f>IF(OR(G35="TCPL",G35="PRACTICAL - UG",G35="PRACTICAL - PG"),'Paste here'!M35,"  -NA-  ")</f>
        <v xml:space="preserve">  -NA-  </v>
      </c>
      <c r="AZ35" s="62" t="str">
        <f>IF(OR(G35="TCPL",G35="PRACTICAL - UG",G35="PRACTICAL - PG"),'Paste here'!N35,"  -NA-  ")</f>
        <v xml:space="preserve">  -NA-  </v>
      </c>
      <c r="BA35" s="62" t="str">
        <f>IF(OR(G35="TCPL",G35="PRACTICAL - UG",G35="PRACTICAL - PG"),Skilled!K35,"  -NA-  ")</f>
        <v xml:space="preserve">  -NA-  </v>
      </c>
      <c r="BB35" s="62" t="str">
        <f>IF(OR(G35="TCPL",G35="PRACTICAL - UG",G35="PRACTICAL - PG"),'Paste here'!AM35,"  -NA-  ")</f>
        <v xml:space="preserve">  -NA-  </v>
      </c>
      <c r="BC35" s="62" t="str">
        <f>UPPER(IF(OR(G35="TCPL",G35="PRACTICAL - UG",G35="PRACTICAL - PG"),'Paste here'!AN35,"  -NA-  "))</f>
        <v xml:space="preserve">  -NA-  </v>
      </c>
      <c r="BD35" s="62" t="str">
        <f>UPPER(IF(OR(G35="TCPL",G35="PRACTICAL - UG",G35="PRACTICAL - PG"),'Paste here'!AO35,"  -NA-  "))</f>
        <v xml:space="preserve">  -NA-  </v>
      </c>
      <c r="BE35" s="62" t="str">
        <f>UPPER(IF(OR(G35="TCPL",G35="PRACTICAL - UG",G35="PRACTICAL - PG"),'Paste here'!AP35,"  -NA-  "))</f>
        <v xml:space="preserve">  -NA-  </v>
      </c>
      <c r="BF35" s="62" t="str">
        <f>IF(OR(G35="TCPL",G35="PRACTICAL - UG",G35="PRACTICAL - PG"),Skilled!L35,"")</f>
        <v/>
      </c>
      <c r="BG35" s="63"/>
      <c r="BH35" s="62" t="str">
        <f>IF(OR(AG35="ENGLISH",AG35="MBA"),"",IF(OR(G35="PRACTICAL - UG",G35="PRACTICAL - PG"),'Paste here'!AQ35,""))</f>
        <v/>
      </c>
      <c r="BI35" s="62" t="str">
        <f>UPPER(IF(OR(G35="PRACTICAL - UG",G35="PRACTICAL - PG"),'Paste here'!AR35,"  -NA-  "))</f>
        <v xml:space="preserve">  -NA-  </v>
      </c>
      <c r="BJ35" s="62" t="str">
        <f>IF(OR(G35="PRACTICAL - UG",G35="PRACTICAL - PG"),'Paste here'!AT35,"  -NA-  ")</f>
        <v xml:space="preserve">  -NA-  </v>
      </c>
      <c r="BK35" s="62" t="str">
        <f t="shared" si="3"/>
        <v xml:space="preserve">  -NA-  </v>
      </c>
      <c r="BL35" s="62" t="str">
        <f>IF(OR(G35="PRACTICAL - UG",G35="PRACTICAL - PG"),'Paste here'!AS35,"  -NA-  ")</f>
        <v xml:space="preserve">  -NA-  </v>
      </c>
      <c r="BM35" s="62" t="str">
        <f>IF(OR(G35="PRACTICAL - UG",G35="PRACTICAL - PG"),'Paste here'!M35,"  -NA-  ")</f>
        <v xml:space="preserve">  -NA-  </v>
      </c>
      <c r="BN35" s="62" t="str">
        <f>IF(OR(G35="PRACTICAL - UG",G35="PRACTICAL - PG"),'Paste here'!N35,"  -NA-  ")</f>
        <v xml:space="preserve">  -NA-  </v>
      </c>
      <c r="BO35" s="62" t="str">
        <f>IF(OR(AG35="ENGLISH",AG35="MBA"),"",IF(OR(G35="PRACTICAL - UG",G35="PRACTICAL - PG"),Technician!J35,"  -NA-  "))</f>
        <v xml:space="preserve">  -NA-  </v>
      </c>
      <c r="BP35" s="62" t="str">
        <f>IF(OR(G35="PRACTICAL - UG",G35="PRACTICAL - PG"),'Paste here'!AU35,"  -NA-  ")</f>
        <v xml:space="preserve">  -NA-  </v>
      </c>
      <c r="BQ35" s="62" t="str">
        <f>UPPER(IF(OR(,G35="PRACTICAL - UG",G35="PRACTICAL - PG"),'Paste here'!AV35,"  -NA-  "))</f>
        <v xml:space="preserve">  -NA-  </v>
      </c>
      <c r="BR35" s="62" t="str">
        <f>UPPER(IF(OR(G35="PRACTICAL - UG",G35="PRACTICAL - PG"),'Paste here'!AW35,"  -NA-  "))</f>
        <v xml:space="preserve">  -NA-  </v>
      </c>
      <c r="BS35" s="62" t="str">
        <f>UPPER(IF(OR(G35="PRACTICAL - UG",G35="PRACTICAL - PG"),'Paste here'!AX35,"  -NA-  "))</f>
        <v xml:space="preserve">  -NA-  </v>
      </c>
      <c r="BT35" s="39" t="str">
        <f>IF(OR(AG35="ENGLISH",AG35="MBA"),"",IF(OR(G35="PRACTICAL - UG",G35="PRACTICAL - PG"),Technician!L35,""))</f>
        <v/>
      </c>
    </row>
    <row r="36" spans="1:72" ht="21.75" customHeight="1" x14ac:dyDescent="0.25">
      <c r="A36" s="5" t="str">
        <f>'Paste here'!A36</f>
        <v>L41</v>
      </c>
      <c r="B36" s="39">
        <f>'Paste here'!F36</f>
        <v>0</v>
      </c>
      <c r="C36" s="39">
        <f>'Paste here'!J36</f>
        <v>0</v>
      </c>
      <c r="D36" s="39">
        <f>'Paste here'!K36</f>
        <v>0</v>
      </c>
      <c r="E36" s="39" t="str">
        <f>UPPER('Paste here'!H36)</f>
        <v/>
      </c>
      <c r="F36" s="39">
        <f>'Paste here'!I36</f>
        <v>0</v>
      </c>
      <c r="G36" s="39">
        <f>'Paste here'!G36</f>
        <v>0</v>
      </c>
      <c r="H36" s="84">
        <f>'Paste here'!D36</f>
        <v>0</v>
      </c>
      <c r="I36" s="39">
        <f>'Paste here'!E36</f>
        <v>0</v>
      </c>
      <c r="J36" s="63"/>
      <c r="K36" s="39">
        <f>'Paste here'!O36</f>
        <v>0</v>
      </c>
      <c r="L36" s="67" t="str">
        <f>UPPER('Paste here'!P36)</f>
        <v/>
      </c>
      <c r="M36" s="39">
        <f>'Paste here'!S36</f>
        <v>0</v>
      </c>
      <c r="N36" s="39">
        <f>'Paste here'!R36</f>
        <v>0</v>
      </c>
      <c r="O36" s="39">
        <f>'Paste here'!T36</f>
        <v>0</v>
      </c>
      <c r="P36" s="5" t="e">
        <f>IF(VLOOKUP(O36,'Distance matrix'!B$2:C$238,2,FALSE)&lt;36,"&lt;35",VLOOKUP(O36,'Distance matrix'!B$2:C$238,2,FALSE))</f>
        <v>#N/A</v>
      </c>
      <c r="Q36" s="39">
        <f>'Paste here'!Q36</f>
        <v>0</v>
      </c>
      <c r="R36" s="39">
        <f>'Paste here'!M36</f>
        <v>0</v>
      </c>
      <c r="S36" s="39">
        <f>'Paste here'!N36</f>
        <v>0</v>
      </c>
      <c r="T36" s="65" t="e">
        <f>External!K36</f>
        <v>#N/A</v>
      </c>
      <c r="U36" s="62">
        <f>External!M36</f>
        <v>0</v>
      </c>
      <c r="V36" s="62">
        <f>External!L36</f>
        <v>0</v>
      </c>
      <c r="W36" s="62" t="e">
        <f>External!N36</f>
        <v>#N/A</v>
      </c>
      <c r="X36" s="39">
        <f>'Paste here'!U36</f>
        <v>0</v>
      </c>
      <c r="Y36" s="39" t="str">
        <f>UPPER('Paste here'!V36)</f>
        <v/>
      </c>
      <c r="Z36" s="39" t="str">
        <f>UPPER('Paste here'!W36)</f>
        <v/>
      </c>
      <c r="AA36" s="39" t="str">
        <f>UPPER('Paste here'!X36)</f>
        <v/>
      </c>
      <c r="AB36" s="39" t="e">
        <f>External!O36</f>
        <v>#VALUE!</v>
      </c>
      <c r="AC36" s="63"/>
      <c r="AD36" s="62">
        <f>'Paste here'!Y36</f>
        <v>0</v>
      </c>
      <c r="AE36" s="62" t="str">
        <f>UPPER('Paste here'!Z36)</f>
        <v/>
      </c>
      <c r="AF36" s="62">
        <f>'Paste here'!AC36</f>
        <v>0</v>
      </c>
      <c r="AG36" s="62">
        <f>'Paste here'!AB36</f>
        <v>0</v>
      </c>
      <c r="AH36" s="62" t="s">
        <v>47</v>
      </c>
      <c r="AI36" s="62">
        <f>'Paste here'!AA36</f>
        <v>0</v>
      </c>
      <c r="AJ36" s="62">
        <f>'Paste here'!M36</f>
        <v>0</v>
      </c>
      <c r="AK36" s="62">
        <f>'Paste here'!N36</f>
        <v>0</v>
      </c>
      <c r="AL36" s="62" t="e">
        <f>Internal!L36</f>
        <v>#N/A</v>
      </c>
      <c r="AM36" s="62">
        <f>'Paste here'!AD36</f>
        <v>0</v>
      </c>
      <c r="AN36" s="62" t="str">
        <f>UPPER('Paste here'!AE36)</f>
        <v/>
      </c>
      <c r="AO36" s="62" t="str">
        <f>UPPER('Paste here'!AF36)</f>
        <v/>
      </c>
      <c r="AP36" s="62" t="str">
        <f>UPPER('Paste here'!AG36)</f>
        <v/>
      </c>
      <c r="AQ36" s="62" t="e">
        <f>Internal!M36</f>
        <v>#VALUE!</v>
      </c>
      <c r="AR36" s="63"/>
      <c r="AS36" s="62" t="str">
        <f>IF(OR(G36="TCPL",G36="PRACTICAL - UG",G36="PRACTICAL - PG"),'Paste here'!AH36,"")</f>
        <v/>
      </c>
      <c r="AT36" s="62" t="str">
        <f>UPPER(IF(OR(G36="TCPL",G36="PRACTICAL - UG",G36="PRACTICAL - PG"),'Paste here'!AI36,"  -NA-  "))</f>
        <v xml:space="preserve">  -NA-  </v>
      </c>
      <c r="AU36" s="62" t="str">
        <f>IF(OR(G36="TCPL",G36="PRACTICAL - UG",G36="PRACTICAL - PG"),'Paste here'!AL36,"  -NA-  ")</f>
        <v xml:space="preserve">  -NA-  </v>
      </c>
      <c r="AV36" s="62" t="str">
        <f>IF(OR(G36="TCPL",G36="PRACTICAL - UG",G36="PRACTICAL - PG"),'Paste here'!AK36,"  -NA-  ")</f>
        <v xml:space="preserve">  -NA-  </v>
      </c>
      <c r="AW36" s="62" t="str">
        <f t="shared" si="2"/>
        <v xml:space="preserve">  -NA-  </v>
      </c>
      <c r="AX36" s="62" t="str">
        <f>IF(OR(G36="TCPL",G36="PRACTICAL - UG",G36="PRACTICAL - PG"),'Paste here'!AJ36,"  -NA-  ")</f>
        <v xml:space="preserve">  -NA-  </v>
      </c>
      <c r="AY36" s="62" t="str">
        <f>IF(OR(G36="TCPL",G36="PRACTICAL - UG",G36="PRACTICAL - PG"),'Paste here'!M36,"  -NA-  ")</f>
        <v xml:space="preserve">  -NA-  </v>
      </c>
      <c r="AZ36" s="62" t="str">
        <f>IF(OR(G36="TCPL",G36="PRACTICAL - UG",G36="PRACTICAL - PG"),'Paste here'!N36,"  -NA-  ")</f>
        <v xml:space="preserve">  -NA-  </v>
      </c>
      <c r="BA36" s="62" t="str">
        <f>IF(OR(G36="TCPL",G36="PRACTICAL - UG",G36="PRACTICAL - PG"),Skilled!K36,"  -NA-  ")</f>
        <v xml:space="preserve">  -NA-  </v>
      </c>
      <c r="BB36" s="62" t="str">
        <f>IF(OR(G36="TCPL",G36="PRACTICAL - UG",G36="PRACTICAL - PG"),'Paste here'!AM36,"  -NA-  ")</f>
        <v xml:space="preserve">  -NA-  </v>
      </c>
      <c r="BC36" s="62" t="str">
        <f>UPPER(IF(OR(G36="TCPL",G36="PRACTICAL - UG",G36="PRACTICAL - PG"),'Paste here'!AN36,"  -NA-  "))</f>
        <v xml:space="preserve">  -NA-  </v>
      </c>
      <c r="BD36" s="62" t="str">
        <f>UPPER(IF(OR(G36="TCPL",G36="PRACTICAL - UG",G36="PRACTICAL - PG"),'Paste here'!AO36,"  -NA-  "))</f>
        <v xml:space="preserve">  -NA-  </v>
      </c>
      <c r="BE36" s="62" t="str">
        <f>UPPER(IF(OR(G36="TCPL",G36="PRACTICAL - UG",G36="PRACTICAL - PG"),'Paste here'!AP36,"  -NA-  "))</f>
        <v xml:space="preserve">  -NA-  </v>
      </c>
      <c r="BF36" s="62" t="str">
        <f>IF(OR(G36="TCPL",G36="PRACTICAL - UG",G36="PRACTICAL - PG"),Skilled!L36,"")</f>
        <v/>
      </c>
      <c r="BG36" s="63"/>
      <c r="BH36" s="62" t="str">
        <f>IF(OR(AG36="ENGLISH",AG36="MBA"),"",IF(OR(G36="PRACTICAL - UG",G36="PRACTICAL - PG"),'Paste here'!AQ36,""))</f>
        <v/>
      </c>
      <c r="BI36" s="62" t="str">
        <f>UPPER(IF(OR(G36="PRACTICAL - UG",G36="PRACTICAL - PG"),'Paste here'!AR36,"  -NA-  "))</f>
        <v xml:space="preserve">  -NA-  </v>
      </c>
      <c r="BJ36" s="62" t="str">
        <f>IF(OR(G36="PRACTICAL - UG",G36="PRACTICAL - PG"),'Paste here'!AT36,"  -NA-  ")</f>
        <v xml:space="preserve">  -NA-  </v>
      </c>
      <c r="BK36" s="62" t="str">
        <f t="shared" si="3"/>
        <v xml:space="preserve">  -NA-  </v>
      </c>
      <c r="BL36" s="62" t="str">
        <f>IF(OR(G36="PRACTICAL - UG",G36="PRACTICAL - PG"),'Paste here'!AS36,"  -NA-  ")</f>
        <v xml:space="preserve">  -NA-  </v>
      </c>
      <c r="BM36" s="62" t="str">
        <f>IF(OR(G36="PRACTICAL - UG",G36="PRACTICAL - PG"),'Paste here'!M36,"  -NA-  ")</f>
        <v xml:space="preserve">  -NA-  </v>
      </c>
      <c r="BN36" s="62" t="str">
        <f>IF(OR(G36="PRACTICAL - UG",G36="PRACTICAL - PG"),'Paste here'!N36,"  -NA-  ")</f>
        <v xml:space="preserve">  -NA-  </v>
      </c>
      <c r="BO36" s="62" t="str">
        <f>IF(OR(AG36="ENGLISH",AG36="MBA"),"",IF(OR(G36="PRACTICAL - UG",G36="PRACTICAL - PG"),Technician!J36,"  -NA-  "))</f>
        <v xml:space="preserve">  -NA-  </v>
      </c>
      <c r="BP36" s="62" t="str">
        <f>IF(OR(G36="PRACTICAL - UG",G36="PRACTICAL - PG"),'Paste here'!AU36,"  -NA-  ")</f>
        <v xml:space="preserve">  -NA-  </v>
      </c>
      <c r="BQ36" s="62" t="str">
        <f>UPPER(IF(OR(,G36="PRACTICAL - UG",G36="PRACTICAL - PG"),'Paste here'!AV36,"  -NA-  "))</f>
        <v xml:space="preserve">  -NA-  </v>
      </c>
      <c r="BR36" s="62" t="str">
        <f>UPPER(IF(OR(G36="PRACTICAL - UG",G36="PRACTICAL - PG"),'Paste here'!AW36,"  -NA-  "))</f>
        <v xml:space="preserve">  -NA-  </v>
      </c>
      <c r="BS36" s="62" t="str">
        <f>UPPER(IF(OR(G36="PRACTICAL - UG",G36="PRACTICAL - PG"),'Paste here'!AX36,"  -NA-  "))</f>
        <v xml:space="preserve">  -NA-  </v>
      </c>
      <c r="BT36" s="39" t="str">
        <f>IF(OR(AG36="ENGLISH",AG36="MBA"),"",IF(OR(G36="PRACTICAL - UG",G36="PRACTICAL - PG"),Technician!L36,""))</f>
        <v/>
      </c>
    </row>
    <row r="37" spans="1:72" ht="21.75" customHeight="1" x14ac:dyDescent="0.25">
      <c r="A37" s="5" t="str">
        <f>'Paste here'!A37</f>
        <v>L42</v>
      </c>
      <c r="B37" s="39">
        <f>'Paste here'!F37</f>
        <v>0</v>
      </c>
      <c r="C37" s="39">
        <f>'Paste here'!J37</f>
        <v>0</v>
      </c>
      <c r="D37" s="39">
        <f>'Paste here'!K37</f>
        <v>0</v>
      </c>
      <c r="E37" s="39" t="str">
        <f>UPPER('Paste here'!H37)</f>
        <v/>
      </c>
      <c r="F37" s="39">
        <f>'Paste here'!I37</f>
        <v>0</v>
      </c>
      <c r="G37" s="39">
        <f>'Paste here'!G37</f>
        <v>0</v>
      </c>
      <c r="H37" s="84">
        <f>'Paste here'!D37</f>
        <v>0</v>
      </c>
      <c r="I37" s="39">
        <f>'Paste here'!E37</f>
        <v>0</v>
      </c>
      <c r="J37" s="63"/>
      <c r="K37" s="39">
        <f>'Paste here'!O37</f>
        <v>0</v>
      </c>
      <c r="L37" s="67" t="str">
        <f>UPPER('Paste here'!P37)</f>
        <v/>
      </c>
      <c r="M37" s="39">
        <f>'Paste here'!S37</f>
        <v>0</v>
      </c>
      <c r="N37" s="39">
        <f>'Paste here'!R37</f>
        <v>0</v>
      </c>
      <c r="O37" s="39">
        <f>'Paste here'!T37</f>
        <v>0</v>
      </c>
      <c r="P37" s="5" t="e">
        <f>IF(VLOOKUP(O37,'Distance matrix'!B$2:C$238,2,FALSE)&lt;36,"&lt;35",VLOOKUP(O37,'Distance matrix'!B$2:C$238,2,FALSE))</f>
        <v>#N/A</v>
      </c>
      <c r="Q37" s="39">
        <f>'Paste here'!Q37</f>
        <v>0</v>
      </c>
      <c r="R37" s="39">
        <f>'Paste here'!M37</f>
        <v>0</v>
      </c>
      <c r="S37" s="39">
        <f>'Paste here'!N37</f>
        <v>0</v>
      </c>
      <c r="T37" s="65" t="e">
        <f>External!K37</f>
        <v>#N/A</v>
      </c>
      <c r="U37" s="62">
        <f>External!M37</f>
        <v>0</v>
      </c>
      <c r="V37" s="62">
        <f>External!L37</f>
        <v>0</v>
      </c>
      <c r="W37" s="62" t="e">
        <f>External!N37</f>
        <v>#N/A</v>
      </c>
      <c r="X37" s="39">
        <f>'Paste here'!U37</f>
        <v>0</v>
      </c>
      <c r="Y37" s="39" t="str">
        <f>UPPER('Paste here'!V37)</f>
        <v/>
      </c>
      <c r="Z37" s="39" t="str">
        <f>UPPER('Paste here'!W37)</f>
        <v/>
      </c>
      <c r="AA37" s="39" t="str">
        <f>UPPER('Paste here'!X37)</f>
        <v/>
      </c>
      <c r="AB37" s="39" t="e">
        <f>External!O37</f>
        <v>#VALUE!</v>
      </c>
      <c r="AC37" s="63"/>
      <c r="AD37" s="62">
        <f>'Paste here'!Y37</f>
        <v>0</v>
      </c>
      <c r="AE37" s="62" t="str">
        <f>UPPER('Paste here'!Z37)</f>
        <v/>
      </c>
      <c r="AF37" s="62">
        <f>'Paste here'!AC37</f>
        <v>0</v>
      </c>
      <c r="AG37" s="62">
        <f>'Paste here'!AB37</f>
        <v>0</v>
      </c>
      <c r="AH37" s="62" t="s">
        <v>47</v>
      </c>
      <c r="AI37" s="62">
        <f>'Paste here'!AA37</f>
        <v>0</v>
      </c>
      <c r="AJ37" s="62">
        <f>'Paste here'!M37</f>
        <v>0</v>
      </c>
      <c r="AK37" s="62">
        <f>'Paste here'!N37</f>
        <v>0</v>
      </c>
      <c r="AL37" s="62" t="e">
        <f>Internal!L37</f>
        <v>#N/A</v>
      </c>
      <c r="AM37" s="62">
        <f>'Paste here'!AD37</f>
        <v>0</v>
      </c>
      <c r="AN37" s="62" t="str">
        <f>UPPER('Paste here'!AE37)</f>
        <v/>
      </c>
      <c r="AO37" s="62" t="str">
        <f>UPPER('Paste here'!AF37)</f>
        <v/>
      </c>
      <c r="AP37" s="62" t="str">
        <f>UPPER('Paste here'!AG37)</f>
        <v/>
      </c>
      <c r="AQ37" s="62" t="e">
        <f>Internal!M37</f>
        <v>#VALUE!</v>
      </c>
      <c r="AR37" s="63"/>
      <c r="AS37" s="62" t="str">
        <f>IF(OR(G37="TCPL",G37="PRACTICAL - UG",G37="PRACTICAL - PG"),'Paste here'!AH37,"")</f>
        <v/>
      </c>
      <c r="AT37" s="62" t="str">
        <f>UPPER(IF(OR(G37="TCPL",G37="PRACTICAL - UG",G37="PRACTICAL - PG"),'Paste here'!AI37,"  -NA-  "))</f>
        <v xml:space="preserve">  -NA-  </v>
      </c>
      <c r="AU37" s="62" t="str">
        <f>IF(OR(G37="TCPL",G37="PRACTICAL - UG",G37="PRACTICAL - PG"),'Paste here'!AL37,"  -NA-  ")</f>
        <v xml:space="preserve">  -NA-  </v>
      </c>
      <c r="AV37" s="62" t="str">
        <f>IF(OR(G37="TCPL",G37="PRACTICAL - UG",G37="PRACTICAL - PG"),'Paste here'!AK37,"  -NA-  ")</f>
        <v xml:space="preserve">  -NA-  </v>
      </c>
      <c r="AW37" s="62" t="str">
        <f t="shared" si="2"/>
        <v xml:space="preserve">  -NA-  </v>
      </c>
      <c r="AX37" s="62" t="str">
        <f>IF(OR(G37="TCPL",G37="PRACTICAL - UG",G37="PRACTICAL - PG"),'Paste here'!AJ37,"  -NA-  ")</f>
        <v xml:space="preserve">  -NA-  </v>
      </c>
      <c r="AY37" s="62" t="str">
        <f>IF(OR(G37="TCPL",G37="PRACTICAL - UG",G37="PRACTICAL - PG"),'Paste here'!M37,"  -NA-  ")</f>
        <v xml:space="preserve">  -NA-  </v>
      </c>
      <c r="AZ37" s="62" t="str">
        <f>IF(OR(G37="TCPL",G37="PRACTICAL - UG",G37="PRACTICAL - PG"),'Paste here'!N37,"  -NA-  ")</f>
        <v xml:space="preserve">  -NA-  </v>
      </c>
      <c r="BA37" s="62" t="str">
        <f>IF(OR(G37="TCPL",G37="PRACTICAL - UG",G37="PRACTICAL - PG"),Skilled!K37,"  -NA-  ")</f>
        <v xml:space="preserve">  -NA-  </v>
      </c>
      <c r="BB37" s="62" t="str">
        <f>IF(OR(G37="TCPL",G37="PRACTICAL - UG",G37="PRACTICAL - PG"),'Paste here'!AM37,"  -NA-  ")</f>
        <v xml:space="preserve">  -NA-  </v>
      </c>
      <c r="BC37" s="62" t="str">
        <f>UPPER(IF(OR(G37="TCPL",G37="PRACTICAL - UG",G37="PRACTICAL - PG"),'Paste here'!AN37,"  -NA-  "))</f>
        <v xml:space="preserve">  -NA-  </v>
      </c>
      <c r="BD37" s="62" t="str">
        <f>UPPER(IF(OR(G37="TCPL",G37="PRACTICAL - UG",G37="PRACTICAL - PG"),'Paste here'!AO37,"  -NA-  "))</f>
        <v xml:space="preserve">  -NA-  </v>
      </c>
      <c r="BE37" s="62" t="str">
        <f>UPPER(IF(OR(G37="TCPL",G37="PRACTICAL - UG",G37="PRACTICAL - PG"),'Paste here'!AP37,"  -NA-  "))</f>
        <v xml:space="preserve">  -NA-  </v>
      </c>
      <c r="BF37" s="62" t="str">
        <f>IF(OR(G37="TCPL",G37="PRACTICAL - UG",G37="PRACTICAL - PG"),Skilled!L37,"")</f>
        <v/>
      </c>
      <c r="BG37" s="63"/>
      <c r="BH37" s="62" t="str">
        <f>IF(OR(AG37="ENGLISH",AG37="MBA"),"",IF(OR(G37="PRACTICAL - UG",G37="PRACTICAL - PG"),'Paste here'!AQ37,""))</f>
        <v/>
      </c>
      <c r="BI37" s="62" t="str">
        <f>UPPER(IF(OR(G37="PRACTICAL - UG",G37="PRACTICAL - PG"),'Paste here'!AR37,"  -NA-  "))</f>
        <v xml:space="preserve">  -NA-  </v>
      </c>
      <c r="BJ37" s="62" t="str">
        <f>IF(OR(G37="PRACTICAL - UG",G37="PRACTICAL - PG"),'Paste here'!AT37,"  -NA-  ")</f>
        <v xml:space="preserve">  -NA-  </v>
      </c>
      <c r="BK37" s="62" t="str">
        <f t="shared" si="3"/>
        <v xml:space="preserve">  -NA-  </v>
      </c>
      <c r="BL37" s="62" t="str">
        <f>IF(OR(G37="PRACTICAL - UG",G37="PRACTICAL - PG"),'Paste here'!AS37,"  -NA-  ")</f>
        <v xml:space="preserve">  -NA-  </v>
      </c>
      <c r="BM37" s="62" t="str">
        <f>IF(OR(G37="PRACTICAL - UG",G37="PRACTICAL - PG"),'Paste here'!M37,"  -NA-  ")</f>
        <v xml:space="preserve">  -NA-  </v>
      </c>
      <c r="BN37" s="62" t="str">
        <f>IF(OR(G37="PRACTICAL - UG",G37="PRACTICAL - PG"),'Paste here'!N37,"  -NA-  ")</f>
        <v xml:space="preserve">  -NA-  </v>
      </c>
      <c r="BO37" s="62" t="str">
        <f>IF(OR(AG37="ENGLISH",AG37="MBA"),"",IF(OR(G37="PRACTICAL - UG",G37="PRACTICAL - PG"),Technician!J37,"  -NA-  "))</f>
        <v xml:space="preserve">  -NA-  </v>
      </c>
      <c r="BP37" s="62" t="str">
        <f>IF(OR(G37="PRACTICAL - UG",G37="PRACTICAL - PG"),'Paste here'!AU37,"  -NA-  ")</f>
        <v xml:space="preserve">  -NA-  </v>
      </c>
      <c r="BQ37" s="62" t="str">
        <f>UPPER(IF(OR(,G37="PRACTICAL - UG",G37="PRACTICAL - PG"),'Paste here'!AV37,"  -NA-  "))</f>
        <v xml:space="preserve">  -NA-  </v>
      </c>
      <c r="BR37" s="62" t="str">
        <f>UPPER(IF(OR(G37="PRACTICAL - UG",G37="PRACTICAL - PG"),'Paste here'!AW37,"  -NA-  "))</f>
        <v xml:space="preserve">  -NA-  </v>
      </c>
      <c r="BS37" s="62" t="str">
        <f>UPPER(IF(OR(G37="PRACTICAL - UG",G37="PRACTICAL - PG"),'Paste here'!AX37,"  -NA-  "))</f>
        <v xml:space="preserve">  -NA-  </v>
      </c>
      <c r="BT37" s="39" t="str">
        <f>IF(OR(AG37="ENGLISH",AG37="MBA"),"",IF(OR(G37="PRACTICAL - UG",G37="PRACTICAL - PG"),Technician!L37,""))</f>
        <v/>
      </c>
    </row>
    <row r="38" spans="1:72" ht="21.75" customHeight="1" x14ac:dyDescent="0.25">
      <c r="A38" s="5" t="str">
        <f>'Paste here'!A38</f>
        <v>L43</v>
      </c>
      <c r="B38" s="39">
        <f>'Paste here'!F38</f>
        <v>0</v>
      </c>
      <c r="C38" s="39">
        <f>'Paste here'!J38</f>
        <v>0</v>
      </c>
      <c r="D38" s="39">
        <f>'Paste here'!K38</f>
        <v>0</v>
      </c>
      <c r="E38" s="39" t="str">
        <f>UPPER('Paste here'!H38)</f>
        <v/>
      </c>
      <c r="F38" s="39">
        <f>'Paste here'!I38</f>
        <v>0</v>
      </c>
      <c r="G38" s="39">
        <f>'Paste here'!G38</f>
        <v>0</v>
      </c>
      <c r="H38" s="84">
        <f>'Paste here'!D38</f>
        <v>0</v>
      </c>
      <c r="I38" s="39">
        <f>'Paste here'!E38</f>
        <v>0</v>
      </c>
      <c r="J38" s="63"/>
      <c r="K38" s="39">
        <f>'Paste here'!O38</f>
        <v>0</v>
      </c>
      <c r="L38" s="67" t="str">
        <f>UPPER('Paste here'!P38)</f>
        <v/>
      </c>
      <c r="M38" s="39">
        <f>'Paste here'!S38</f>
        <v>0</v>
      </c>
      <c r="N38" s="39">
        <f>'Paste here'!R38</f>
        <v>0</v>
      </c>
      <c r="O38" s="39">
        <f>'Paste here'!T38</f>
        <v>0</v>
      </c>
      <c r="P38" s="5" t="e">
        <f>IF(VLOOKUP(O38,'Distance matrix'!B$2:C$238,2,FALSE)&lt;36,"&lt;35",VLOOKUP(O38,'Distance matrix'!B$2:C$238,2,FALSE))</f>
        <v>#N/A</v>
      </c>
      <c r="Q38" s="39">
        <f>'Paste here'!Q38</f>
        <v>0</v>
      </c>
      <c r="R38" s="39">
        <f>'Paste here'!M38</f>
        <v>0</v>
      </c>
      <c r="S38" s="39">
        <f>'Paste here'!N38</f>
        <v>0</v>
      </c>
      <c r="T38" s="65" t="e">
        <f>External!K38</f>
        <v>#N/A</v>
      </c>
      <c r="U38" s="62">
        <f>External!M38</f>
        <v>0</v>
      </c>
      <c r="V38" s="62">
        <f>External!L38</f>
        <v>0</v>
      </c>
      <c r="W38" s="62" t="e">
        <f>External!N38</f>
        <v>#N/A</v>
      </c>
      <c r="X38" s="39">
        <f>'Paste here'!U38</f>
        <v>0</v>
      </c>
      <c r="Y38" s="39" t="str">
        <f>UPPER('Paste here'!V38)</f>
        <v/>
      </c>
      <c r="Z38" s="39" t="str">
        <f>UPPER('Paste here'!W38)</f>
        <v/>
      </c>
      <c r="AA38" s="39" t="str">
        <f>UPPER('Paste here'!X38)</f>
        <v/>
      </c>
      <c r="AB38" s="39" t="e">
        <f>External!O38</f>
        <v>#VALUE!</v>
      </c>
      <c r="AC38" s="63"/>
      <c r="AD38" s="62">
        <f>'Paste here'!Y38</f>
        <v>0</v>
      </c>
      <c r="AE38" s="62" t="str">
        <f>UPPER('Paste here'!Z38)</f>
        <v/>
      </c>
      <c r="AF38" s="62">
        <f>'Paste here'!AC38</f>
        <v>0</v>
      </c>
      <c r="AG38" s="62">
        <f>'Paste here'!AB38</f>
        <v>0</v>
      </c>
      <c r="AH38" s="62" t="s">
        <v>47</v>
      </c>
      <c r="AI38" s="62">
        <f>'Paste here'!AA38</f>
        <v>0</v>
      </c>
      <c r="AJ38" s="62">
        <f>'Paste here'!M38</f>
        <v>0</v>
      </c>
      <c r="AK38" s="62">
        <f>'Paste here'!N38</f>
        <v>0</v>
      </c>
      <c r="AL38" s="62" t="e">
        <f>Internal!L38</f>
        <v>#N/A</v>
      </c>
      <c r="AM38" s="62">
        <f>'Paste here'!AD38</f>
        <v>0</v>
      </c>
      <c r="AN38" s="62" t="str">
        <f>UPPER('Paste here'!AE38)</f>
        <v/>
      </c>
      <c r="AO38" s="62" t="str">
        <f>UPPER('Paste here'!AF38)</f>
        <v/>
      </c>
      <c r="AP38" s="62" t="str">
        <f>UPPER('Paste here'!AG38)</f>
        <v/>
      </c>
      <c r="AQ38" s="62" t="e">
        <f>Internal!M38</f>
        <v>#VALUE!</v>
      </c>
      <c r="AR38" s="63"/>
      <c r="AS38" s="62" t="str">
        <f>IF(OR(G38="TCPL",G38="PRACTICAL - UG",G38="PRACTICAL - PG"),'Paste here'!AH38,"")</f>
        <v/>
      </c>
      <c r="AT38" s="62" t="str">
        <f>UPPER(IF(OR(G38="TCPL",G38="PRACTICAL - UG",G38="PRACTICAL - PG"),'Paste here'!AI38,"  -NA-  "))</f>
        <v xml:space="preserve">  -NA-  </v>
      </c>
      <c r="AU38" s="62" t="str">
        <f>IF(OR(G38="TCPL",G38="PRACTICAL - UG",G38="PRACTICAL - PG"),'Paste here'!AL38,"  -NA-  ")</f>
        <v xml:space="preserve">  -NA-  </v>
      </c>
      <c r="AV38" s="62" t="str">
        <f>IF(OR(G38="TCPL",G38="PRACTICAL - UG",G38="PRACTICAL - PG"),'Paste here'!AK38,"  -NA-  ")</f>
        <v xml:space="preserve">  -NA-  </v>
      </c>
      <c r="AW38" s="62" t="str">
        <f t="shared" ref="AW38:AW43" si="4">IF(OR(G38="TCPL",G38="PRACTICAL - UG",G38="PRACTICAL - PG"),"KRCE","  -NA-  ")</f>
        <v xml:space="preserve">  -NA-  </v>
      </c>
      <c r="AX38" s="62" t="str">
        <f>IF(OR(G38="TCPL",G38="PRACTICAL - UG",G38="PRACTICAL - PG"),'Paste here'!AJ38,"  -NA-  ")</f>
        <v xml:space="preserve">  -NA-  </v>
      </c>
      <c r="AY38" s="62" t="str">
        <f>IF(OR(G38="TCPL",G38="PRACTICAL - UG",G38="PRACTICAL - PG"),'Paste here'!M38,"  -NA-  ")</f>
        <v xml:space="preserve">  -NA-  </v>
      </c>
      <c r="AZ38" s="62" t="str">
        <f>IF(OR(G38="TCPL",G38="PRACTICAL - UG",G38="PRACTICAL - PG"),'Paste here'!N38,"  -NA-  ")</f>
        <v xml:space="preserve">  -NA-  </v>
      </c>
      <c r="BA38" s="62" t="str">
        <f>IF(OR(G38="TCPL",G38="PRACTICAL - UG",G38="PRACTICAL - PG"),Skilled!K38,"  -NA-  ")</f>
        <v xml:space="preserve">  -NA-  </v>
      </c>
      <c r="BB38" s="62" t="str">
        <f>IF(OR(G38="TCPL",G38="PRACTICAL - UG",G38="PRACTICAL - PG"),'Paste here'!AM38,"  -NA-  ")</f>
        <v xml:space="preserve">  -NA-  </v>
      </c>
      <c r="BC38" s="62" t="str">
        <f>UPPER(IF(OR(G38="TCPL",G38="PRACTICAL - UG",G38="PRACTICAL - PG"),'Paste here'!AN38,"  -NA-  "))</f>
        <v xml:space="preserve">  -NA-  </v>
      </c>
      <c r="BD38" s="62" t="str">
        <f>UPPER(IF(OR(G38="TCPL",G38="PRACTICAL - UG",G38="PRACTICAL - PG"),'Paste here'!AO38,"  -NA-  "))</f>
        <v xml:space="preserve">  -NA-  </v>
      </c>
      <c r="BE38" s="62" t="str">
        <f>UPPER(IF(OR(G38="TCPL",G38="PRACTICAL - UG",G38="PRACTICAL - PG"),'Paste here'!AP38,"  -NA-  "))</f>
        <v xml:space="preserve">  -NA-  </v>
      </c>
      <c r="BF38" s="62" t="str">
        <f>IF(OR(G38="TCPL",G38="PRACTICAL - UG",G38="PRACTICAL - PG"),Skilled!L38,"")</f>
        <v/>
      </c>
      <c r="BG38" s="63"/>
      <c r="BH38" s="62" t="str">
        <f>IF(OR(AG38="ENGLISH",AG38="MBA"),"",IF(OR(G38="PRACTICAL - UG",G38="PRACTICAL - PG"),'Paste here'!AQ38,""))</f>
        <v/>
      </c>
      <c r="BI38" s="62" t="str">
        <f>UPPER(IF(OR(G38="PRACTICAL - UG",G38="PRACTICAL - PG"),'Paste here'!AR38,"  -NA-  "))</f>
        <v xml:space="preserve">  -NA-  </v>
      </c>
      <c r="BJ38" s="62" t="str">
        <f>IF(OR(G38="PRACTICAL - UG",G38="PRACTICAL - PG"),'Paste here'!AT38,"  -NA-  ")</f>
        <v xml:space="preserve">  -NA-  </v>
      </c>
      <c r="BK38" s="62" t="str">
        <f t="shared" ref="BK38:BK43" si="5">IF(OR(AG38="ENGLISH",AG38="MBA"),"-NA-",IF(OR(G38="PRACTICAL - UG",G38="PRACTICAL - PG"),"KRCE","  -NA-  "))</f>
        <v xml:space="preserve">  -NA-  </v>
      </c>
      <c r="BL38" s="62" t="str">
        <f>IF(OR(G38="PRACTICAL - UG",G38="PRACTICAL - PG"),'Paste here'!AS38,"  -NA-  ")</f>
        <v xml:space="preserve">  -NA-  </v>
      </c>
      <c r="BM38" s="62" t="str">
        <f>IF(OR(G38="PRACTICAL - UG",G38="PRACTICAL - PG"),'Paste here'!M38,"  -NA-  ")</f>
        <v xml:space="preserve">  -NA-  </v>
      </c>
      <c r="BN38" s="62" t="str">
        <f>IF(OR(G38="PRACTICAL - UG",G38="PRACTICAL - PG"),'Paste here'!N38,"  -NA-  ")</f>
        <v xml:space="preserve">  -NA-  </v>
      </c>
      <c r="BO38" s="62" t="str">
        <f>IF(OR(AG38="ENGLISH",AG38="MBA"),"",IF(OR(G38="PRACTICAL - UG",G38="PRACTICAL - PG"),Technician!J38,"  -NA-  "))</f>
        <v xml:space="preserve">  -NA-  </v>
      </c>
      <c r="BP38" s="62" t="str">
        <f>IF(OR(G38="PRACTICAL - UG",G38="PRACTICAL - PG"),'Paste here'!AU38,"  -NA-  ")</f>
        <v xml:space="preserve">  -NA-  </v>
      </c>
      <c r="BQ38" s="62" t="str">
        <f>UPPER(IF(OR(,G38="PRACTICAL - UG",G38="PRACTICAL - PG"),'Paste here'!AV38,"  -NA-  "))</f>
        <v xml:space="preserve">  -NA-  </v>
      </c>
      <c r="BR38" s="62" t="str">
        <f>UPPER(IF(OR(G38="PRACTICAL - UG",G38="PRACTICAL - PG"),'Paste here'!AW38,"  -NA-  "))</f>
        <v xml:space="preserve">  -NA-  </v>
      </c>
      <c r="BS38" s="62" t="str">
        <f>UPPER(IF(OR(G38="PRACTICAL - UG",G38="PRACTICAL - PG"),'Paste here'!AX38,"  -NA-  "))</f>
        <v xml:space="preserve">  -NA-  </v>
      </c>
      <c r="BT38" s="39" t="str">
        <f>IF(OR(AG38="ENGLISH",AG38="MBA"),"",IF(OR(G38="PRACTICAL - UG",G38="PRACTICAL - PG"),Technician!L38,""))</f>
        <v/>
      </c>
    </row>
    <row r="39" spans="1:72" ht="21.75" customHeight="1" x14ac:dyDescent="0.25">
      <c r="A39" s="5" t="str">
        <f>'Paste here'!A39</f>
        <v>L44</v>
      </c>
      <c r="B39" s="39">
        <f>'Paste here'!F39</f>
        <v>0</v>
      </c>
      <c r="C39" s="39">
        <f>'Paste here'!J39</f>
        <v>0</v>
      </c>
      <c r="D39" s="39">
        <f>'Paste here'!K39</f>
        <v>0</v>
      </c>
      <c r="E39" s="39" t="str">
        <f>UPPER('Paste here'!H39)</f>
        <v/>
      </c>
      <c r="F39" s="39">
        <f>'Paste here'!I39</f>
        <v>0</v>
      </c>
      <c r="G39" s="39">
        <f>'Paste here'!G39</f>
        <v>0</v>
      </c>
      <c r="H39" s="84">
        <f>'Paste here'!D39</f>
        <v>0</v>
      </c>
      <c r="I39" s="39">
        <f>'Paste here'!E39</f>
        <v>0</v>
      </c>
      <c r="J39" s="63"/>
      <c r="K39" s="39">
        <f>'Paste here'!O39</f>
        <v>0</v>
      </c>
      <c r="L39" s="67" t="str">
        <f>UPPER('Paste here'!P39)</f>
        <v/>
      </c>
      <c r="M39" s="39">
        <f>'Paste here'!S39</f>
        <v>0</v>
      </c>
      <c r="N39" s="39">
        <f>'Paste here'!R39</f>
        <v>0</v>
      </c>
      <c r="O39" s="39">
        <f>'Paste here'!T39</f>
        <v>0</v>
      </c>
      <c r="P39" s="5" t="e">
        <f>IF(VLOOKUP(O39,'Distance matrix'!B$2:C$238,2,FALSE)&lt;36,"&lt;35",VLOOKUP(O39,'Distance matrix'!B$2:C$238,2,FALSE))</f>
        <v>#N/A</v>
      </c>
      <c r="Q39" s="39">
        <f>'Paste here'!Q39</f>
        <v>0</v>
      </c>
      <c r="R39" s="39">
        <f>'Paste here'!M39</f>
        <v>0</v>
      </c>
      <c r="S39" s="39">
        <f>'Paste here'!N39</f>
        <v>0</v>
      </c>
      <c r="T39" s="65" t="e">
        <f>External!K39</f>
        <v>#N/A</v>
      </c>
      <c r="U39" s="62">
        <f>External!M39</f>
        <v>0</v>
      </c>
      <c r="V39" s="62">
        <f>External!L39</f>
        <v>0</v>
      </c>
      <c r="W39" s="62" t="e">
        <f>External!N39</f>
        <v>#N/A</v>
      </c>
      <c r="X39" s="39">
        <f>'Paste here'!U39</f>
        <v>0</v>
      </c>
      <c r="Y39" s="39" t="str">
        <f>UPPER('Paste here'!V39)</f>
        <v/>
      </c>
      <c r="Z39" s="39" t="str">
        <f>UPPER('Paste here'!W39)</f>
        <v/>
      </c>
      <c r="AA39" s="39" t="str">
        <f>UPPER('Paste here'!X39)</f>
        <v/>
      </c>
      <c r="AB39" s="39" t="e">
        <f>External!O39</f>
        <v>#VALUE!</v>
      </c>
      <c r="AC39" s="63"/>
      <c r="AD39" s="62">
        <f>'Paste here'!Y39</f>
        <v>0</v>
      </c>
      <c r="AE39" s="62" t="str">
        <f>UPPER('Paste here'!Z39)</f>
        <v/>
      </c>
      <c r="AF39" s="62">
        <f>'Paste here'!AC39</f>
        <v>0</v>
      </c>
      <c r="AG39" s="62">
        <f>'Paste here'!AB39</f>
        <v>0</v>
      </c>
      <c r="AH39" s="62" t="s">
        <v>47</v>
      </c>
      <c r="AI39" s="62">
        <f>'Paste here'!AA39</f>
        <v>0</v>
      </c>
      <c r="AJ39" s="62">
        <f>'Paste here'!M39</f>
        <v>0</v>
      </c>
      <c r="AK39" s="62">
        <f>'Paste here'!N39</f>
        <v>0</v>
      </c>
      <c r="AL39" s="62" t="e">
        <f>Internal!L39</f>
        <v>#N/A</v>
      </c>
      <c r="AM39" s="62">
        <f>'Paste here'!AD39</f>
        <v>0</v>
      </c>
      <c r="AN39" s="62" t="str">
        <f>UPPER('Paste here'!AE39)</f>
        <v/>
      </c>
      <c r="AO39" s="62" t="str">
        <f>UPPER('Paste here'!AF39)</f>
        <v/>
      </c>
      <c r="AP39" s="62" t="str">
        <f>UPPER('Paste here'!AG39)</f>
        <v/>
      </c>
      <c r="AQ39" s="62" t="e">
        <f>Internal!M39</f>
        <v>#VALUE!</v>
      </c>
      <c r="AR39" s="63"/>
      <c r="AS39" s="62" t="str">
        <f>IF(OR(G39="TCPL",G39="PRACTICAL - UG",G39="PRACTICAL - PG"),'Paste here'!AH39,"")</f>
        <v/>
      </c>
      <c r="AT39" s="62" t="str">
        <f>UPPER(IF(OR(G39="TCPL",G39="PRACTICAL - UG",G39="PRACTICAL - PG"),'Paste here'!AI39,"  -NA-  "))</f>
        <v xml:space="preserve">  -NA-  </v>
      </c>
      <c r="AU39" s="62" t="str">
        <f>IF(OR(G39="TCPL",G39="PRACTICAL - UG",G39="PRACTICAL - PG"),'Paste here'!AL39,"  -NA-  ")</f>
        <v xml:space="preserve">  -NA-  </v>
      </c>
      <c r="AV39" s="62" t="str">
        <f>IF(OR(G39="TCPL",G39="PRACTICAL - UG",G39="PRACTICAL - PG"),'Paste here'!AK39,"  -NA-  ")</f>
        <v xml:space="preserve">  -NA-  </v>
      </c>
      <c r="AW39" s="62" t="str">
        <f t="shared" si="4"/>
        <v xml:space="preserve">  -NA-  </v>
      </c>
      <c r="AX39" s="62" t="str">
        <f>IF(OR(G39="TCPL",G39="PRACTICAL - UG",G39="PRACTICAL - PG"),'Paste here'!AJ39,"  -NA-  ")</f>
        <v xml:space="preserve">  -NA-  </v>
      </c>
      <c r="AY39" s="62" t="str">
        <f>IF(OR(G39="TCPL",G39="PRACTICAL - UG",G39="PRACTICAL - PG"),'Paste here'!M39,"  -NA-  ")</f>
        <v xml:space="preserve">  -NA-  </v>
      </c>
      <c r="AZ39" s="62" t="str">
        <f>IF(OR(G39="TCPL",G39="PRACTICAL - UG",G39="PRACTICAL - PG"),'Paste here'!N39,"  -NA-  ")</f>
        <v xml:space="preserve">  -NA-  </v>
      </c>
      <c r="BA39" s="62" t="str">
        <f>IF(OR(G39="TCPL",G39="PRACTICAL - UG",G39="PRACTICAL - PG"),Skilled!K39,"  -NA-  ")</f>
        <v xml:space="preserve">  -NA-  </v>
      </c>
      <c r="BB39" s="62" t="str">
        <f>IF(OR(G39="TCPL",G39="PRACTICAL - UG",G39="PRACTICAL - PG"),'Paste here'!AM39,"  -NA-  ")</f>
        <v xml:space="preserve">  -NA-  </v>
      </c>
      <c r="BC39" s="62" t="str">
        <f>UPPER(IF(OR(G39="TCPL",G39="PRACTICAL - UG",G39="PRACTICAL - PG"),'Paste here'!AN39,"  -NA-  "))</f>
        <v xml:space="preserve">  -NA-  </v>
      </c>
      <c r="BD39" s="62" t="str">
        <f>UPPER(IF(OR(G39="TCPL",G39="PRACTICAL - UG",G39="PRACTICAL - PG"),'Paste here'!AO39,"  -NA-  "))</f>
        <v xml:space="preserve">  -NA-  </v>
      </c>
      <c r="BE39" s="62" t="str">
        <f>UPPER(IF(OR(G39="TCPL",G39="PRACTICAL - UG",G39="PRACTICAL - PG"),'Paste here'!AP39,"  -NA-  "))</f>
        <v xml:space="preserve">  -NA-  </v>
      </c>
      <c r="BF39" s="62" t="str">
        <f>IF(OR(G39="TCPL",G39="PRACTICAL - UG",G39="PRACTICAL - PG"),Skilled!L39,"")</f>
        <v/>
      </c>
      <c r="BG39" s="63"/>
      <c r="BH39" s="62" t="str">
        <f>IF(OR(AG39="ENGLISH",AG39="MBA"),"",IF(OR(G39="PRACTICAL - UG",G39="PRACTICAL - PG"),'Paste here'!AQ39,""))</f>
        <v/>
      </c>
      <c r="BI39" s="62" t="str">
        <f>UPPER(IF(OR(G39="PRACTICAL - UG",G39="PRACTICAL - PG"),'Paste here'!AR39,"  -NA-  "))</f>
        <v xml:space="preserve">  -NA-  </v>
      </c>
      <c r="BJ39" s="62" t="str">
        <f>IF(OR(G39="PRACTICAL - UG",G39="PRACTICAL - PG"),'Paste here'!AT39,"  -NA-  ")</f>
        <v xml:space="preserve">  -NA-  </v>
      </c>
      <c r="BK39" s="62" t="str">
        <f t="shared" si="5"/>
        <v xml:space="preserve">  -NA-  </v>
      </c>
      <c r="BL39" s="62" t="str">
        <f>IF(OR(G39="PRACTICAL - UG",G39="PRACTICAL - PG"),'Paste here'!AS39,"  -NA-  ")</f>
        <v xml:space="preserve">  -NA-  </v>
      </c>
      <c r="BM39" s="62" t="str">
        <f>IF(OR(G39="PRACTICAL - UG",G39="PRACTICAL - PG"),'Paste here'!M39,"  -NA-  ")</f>
        <v xml:space="preserve">  -NA-  </v>
      </c>
      <c r="BN39" s="62" t="str">
        <f>IF(OR(G39="PRACTICAL - UG",G39="PRACTICAL - PG"),'Paste here'!N39,"  -NA-  ")</f>
        <v xml:space="preserve">  -NA-  </v>
      </c>
      <c r="BO39" s="62" t="str">
        <f>IF(OR(AG39="ENGLISH",AG39="MBA"),"",IF(OR(G39="PRACTICAL - UG",G39="PRACTICAL - PG"),Technician!J39,"  -NA-  "))</f>
        <v xml:space="preserve">  -NA-  </v>
      </c>
      <c r="BP39" s="62" t="str">
        <f>IF(OR(G39="PRACTICAL - UG",G39="PRACTICAL - PG"),'Paste here'!AU39,"  -NA-  ")</f>
        <v xml:space="preserve">  -NA-  </v>
      </c>
      <c r="BQ39" s="62" t="str">
        <f>UPPER(IF(OR(,G39="PRACTICAL - UG",G39="PRACTICAL - PG"),'Paste here'!AV39,"  -NA-  "))</f>
        <v xml:space="preserve">  -NA-  </v>
      </c>
      <c r="BR39" s="62" t="str">
        <f>UPPER(IF(OR(G39="PRACTICAL - UG",G39="PRACTICAL - PG"),'Paste here'!AW39,"  -NA-  "))</f>
        <v xml:space="preserve">  -NA-  </v>
      </c>
      <c r="BS39" s="62" t="str">
        <f>UPPER(IF(OR(G39="PRACTICAL - UG",G39="PRACTICAL - PG"),'Paste here'!AX39,"  -NA-  "))</f>
        <v xml:space="preserve">  -NA-  </v>
      </c>
      <c r="BT39" s="39" t="str">
        <f>IF(OR(AG39="ENGLISH",AG39="MBA"),"",IF(OR(G39="PRACTICAL - UG",G39="PRACTICAL - PG"),Technician!L39,""))</f>
        <v/>
      </c>
    </row>
    <row r="40" spans="1:72" ht="21.75" customHeight="1" x14ac:dyDescent="0.25">
      <c r="A40" s="5" t="str">
        <f>'Paste here'!A40</f>
        <v>L45</v>
      </c>
      <c r="B40" s="39">
        <f>'Paste here'!F40</f>
        <v>0</v>
      </c>
      <c r="C40" s="39">
        <f>'Paste here'!J40</f>
        <v>0</v>
      </c>
      <c r="D40" s="39">
        <f>'Paste here'!K40</f>
        <v>0</v>
      </c>
      <c r="E40" s="39" t="str">
        <f>UPPER('Paste here'!H40)</f>
        <v/>
      </c>
      <c r="F40" s="39">
        <f>'Paste here'!I40</f>
        <v>0</v>
      </c>
      <c r="G40" s="39">
        <f>'Paste here'!G40</f>
        <v>0</v>
      </c>
      <c r="H40" s="84">
        <f>'Paste here'!D40</f>
        <v>0</v>
      </c>
      <c r="I40" s="39">
        <f>'Paste here'!E40</f>
        <v>0</v>
      </c>
      <c r="J40" s="63"/>
      <c r="K40" s="39">
        <f>'Paste here'!O40</f>
        <v>0</v>
      </c>
      <c r="L40" s="67" t="str">
        <f>UPPER('Paste here'!P40)</f>
        <v/>
      </c>
      <c r="M40" s="39">
        <f>'Paste here'!S40</f>
        <v>0</v>
      </c>
      <c r="N40" s="39">
        <f>'Paste here'!R40</f>
        <v>0</v>
      </c>
      <c r="O40" s="39">
        <f>'Paste here'!T40</f>
        <v>0</v>
      </c>
      <c r="P40" s="5" t="e">
        <f>IF(VLOOKUP(O40,'Distance matrix'!B$2:C$238,2,FALSE)&lt;36,"&lt;35",VLOOKUP(O40,'Distance matrix'!B$2:C$238,2,FALSE))</f>
        <v>#N/A</v>
      </c>
      <c r="Q40" s="39">
        <f>'Paste here'!Q40</f>
        <v>0</v>
      </c>
      <c r="R40" s="39">
        <f>'Paste here'!M40</f>
        <v>0</v>
      </c>
      <c r="S40" s="39">
        <f>'Paste here'!N40</f>
        <v>0</v>
      </c>
      <c r="T40" s="65" t="e">
        <f>External!K40</f>
        <v>#N/A</v>
      </c>
      <c r="U40" s="62">
        <f>External!M40</f>
        <v>0</v>
      </c>
      <c r="V40" s="62">
        <f>External!L40</f>
        <v>0</v>
      </c>
      <c r="W40" s="62" t="e">
        <f>External!N40</f>
        <v>#N/A</v>
      </c>
      <c r="X40" s="39">
        <f>'Paste here'!U40</f>
        <v>0</v>
      </c>
      <c r="Y40" s="39" t="str">
        <f>UPPER('Paste here'!V40)</f>
        <v/>
      </c>
      <c r="Z40" s="39" t="str">
        <f>UPPER('Paste here'!W40)</f>
        <v/>
      </c>
      <c r="AA40" s="39" t="str">
        <f>UPPER('Paste here'!X40)</f>
        <v/>
      </c>
      <c r="AB40" s="39" t="e">
        <f>External!O40</f>
        <v>#VALUE!</v>
      </c>
      <c r="AC40" s="63"/>
      <c r="AD40" s="62">
        <f>'Paste here'!Y40</f>
        <v>0</v>
      </c>
      <c r="AE40" s="62" t="str">
        <f>UPPER('Paste here'!Z40)</f>
        <v/>
      </c>
      <c r="AF40" s="62">
        <f>'Paste here'!AC40</f>
        <v>0</v>
      </c>
      <c r="AG40" s="62">
        <f>'Paste here'!AB40</f>
        <v>0</v>
      </c>
      <c r="AH40" s="62" t="s">
        <v>47</v>
      </c>
      <c r="AI40" s="62">
        <f>'Paste here'!AA40</f>
        <v>0</v>
      </c>
      <c r="AJ40" s="62">
        <f>'Paste here'!M40</f>
        <v>0</v>
      </c>
      <c r="AK40" s="62">
        <f>'Paste here'!N40</f>
        <v>0</v>
      </c>
      <c r="AL40" s="62" t="e">
        <f>Internal!L40</f>
        <v>#N/A</v>
      </c>
      <c r="AM40" s="62">
        <f>'Paste here'!AD40</f>
        <v>0</v>
      </c>
      <c r="AN40" s="62" t="str">
        <f>UPPER('Paste here'!AE40)</f>
        <v/>
      </c>
      <c r="AO40" s="62" t="str">
        <f>UPPER('Paste here'!AF40)</f>
        <v/>
      </c>
      <c r="AP40" s="62" t="str">
        <f>UPPER('Paste here'!AG40)</f>
        <v/>
      </c>
      <c r="AQ40" s="62" t="e">
        <f>Internal!M40</f>
        <v>#VALUE!</v>
      </c>
      <c r="AR40" s="63"/>
      <c r="AS40" s="62" t="str">
        <f>IF(OR(G40="TCPL",G40="PRACTICAL - UG",G40="PRACTICAL - PG"),'Paste here'!AH40,"")</f>
        <v/>
      </c>
      <c r="AT40" s="62" t="str">
        <f>UPPER(IF(OR(G40="TCPL",G40="PRACTICAL - UG",G40="PRACTICAL - PG"),'Paste here'!AI40,"  -NA-  "))</f>
        <v xml:space="preserve">  -NA-  </v>
      </c>
      <c r="AU40" s="62" t="str">
        <f>IF(OR(G40="TCPL",G40="PRACTICAL - UG",G40="PRACTICAL - PG"),'Paste here'!AL40,"  -NA-  ")</f>
        <v xml:space="preserve">  -NA-  </v>
      </c>
      <c r="AV40" s="62" t="str">
        <f>IF(OR(G40="TCPL",G40="PRACTICAL - UG",G40="PRACTICAL - PG"),'Paste here'!AK40,"  -NA-  ")</f>
        <v xml:space="preserve">  -NA-  </v>
      </c>
      <c r="AW40" s="62" t="str">
        <f t="shared" si="4"/>
        <v xml:space="preserve">  -NA-  </v>
      </c>
      <c r="AX40" s="62" t="str">
        <f>IF(OR(G40="TCPL",G40="PRACTICAL - UG",G40="PRACTICAL - PG"),'Paste here'!AJ40,"  -NA-  ")</f>
        <v xml:space="preserve">  -NA-  </v>
      </c>
      <c r="AY40" s="62" t="str">
        <f>IF(OR(G40="TCPL",G40="PRACTICAL - UG",G40="PRACTICAL - PG"),'Paste here'!M40,"  -NA-  ")</f>
        <v xml:space="preserve">  -NA-  </v>
      </c>
      <c r="AZ40" s="62" t="str">
        <f>IF(OR(G40="TCPL",G40="PRACTICAL - UG",G40="PRACTICAL - PG"),'Paste here'!N40,"  -NA-  ")</f>
        <v xml:space="preserve">  -NA-  </v>
      </c>
      <c r="BA40" s="62" t="str">
        <f>IF(OR(G40="TCPL",G40="PRACTICAL - UG",G40="PRACTICAL - PG"),Skilled!K40,"  -NA-  ")</f>
        <v xml:space="preserve">  -NA-  </v>
      </c>
      <c r="BB40" s="62" t="str">
        <f>IF(OR(G40="TCPL",G40="PRACTICAL - UG",G40="PRACTICAL - PG"),'Paste here'!AM40,"  -NA-  ")</f>
        <v xml:space="preserve">  -NA-  </v>
      </c>
      <c r="BC40" s="62" t="str">
        <f>UPPER(IF(OR(G40="TCPL",G40="PRACTICAL - UG",G40="PRACTICAL - PG"),'Paste here'!AN40,"  -NA-  "))</f>
        <v xml:space="preserve">  -NA-  </v>
      </c>
      <c r="BD40" s="62" t="str">
        <f>UPPER(IF(OR(G40="TCPL",G40="PRACTICAL - UG",G40="PRACTICAL - PG"),'Paste here'!AO40,"  -NA-  "))</f>
        <v xml:space="preserve">  -NA-  </v>
      </c>
      <c r="BE40" s="62" t="str">
        <f>UPPER(IF(OR(G40="TCPL",G40="PRACTICAL - UG",G40="PRACTICAL - PG"),'Paste here'!AP40,"  -NA-  "))</f>
        <v xml:space="preserve">  -NA-  </v>
      </c>
      <c r="BF40" s="62" t="str">
        <f>IF(OR(G40="TCPL",G40="PRACTICAL - UG",G40="PRACTICAL - PG"),Skilled!L40,"")</f>
        <v/>
      </c>
      <c r="BG40" s="63"/>
      <c r="BH40" s="62" t="str">
        <f>IF(OR(AG40="ENGLISH",AG40="MBA"),"",IF(OR(G40="PRACTICAL - UG",G40="PRACTICAL - PG"),'Paste here'!AQ40,""))</f>
        <v/>
      </c>
      <c r="BI40" s="62" t="str">
        <f>UPPER(IF(OR(G40="PRACTICAL - UG",G40="PRACTICAL - PG"),'Paste here'!AR40,"  -NA-  "))</f>
        <v xml:space="preserve">  -NA-  </v>
      </c>
      <c r="BJ40" s="62" t="str">
        <f>IF(OR(G40="PRACTICAL - UG",G40="PRACTICAL - PG"),'Paste here'!AT40,"  -NA-  ")</f>
        <v xml:space="preserve">  -NA-  </v>
      </c>
      <c r="BK40" s="62" t="str">
        <f t="shared" si="5"/>
        <v xml:space="preserve">  -NA-  </v>
      </c>
      <c r="BL40" s="62" t="str">
        <f>IF(OR(G40="PRACTICAL - UG",G40="PRACTICAL - PG"),'Paste here'!AS40,"  -NA-  ")</f>
        <v xml:space="preserve">  -NA-  </v>
      </c>
      <c r="BM40" s="62" t="str">
        <f>IF(OR(G40="PRACTICAL - UG",G40="PRACTICAL - PG"),'Paste here'!M40,"  -NA-  ")</f>
        <v xml:space="preserve">  -NA-  </v>
      </c>
      <c r="BN40" s="62" t="str">
        <f>IF(OR(G40="PRACTICAL - UG",G40="PRACTICAL - PG"),'Paste here'!N40,"  -NA-  ")</f>
        <v xml:space="preserve">  -NA-  </v>
      </c>
      <c r="BO40" s="62" t="str">
        <f>IF(OR(AG40="ENGLISH",AG40="MBA"),"",IF(OR(G40="PRACTICAL - UG",G40="PRACTICAL - PG"),Technician!J40,"  -NA-  "))</f>
        <v xml:space="preserve">  -NA-  </v>
      </c>
      <c r="BP40" s="62" t="str">
        <f>IF(OR(G40="PRACTICAL - UG",G40="PRACTICAL - PG"),'Paste here'!AU40,"  -NA-  ")</f>
        <v xml:space="preserve">  -NA-  </v>
      </c>
      <c r="BQ40" s="62" t="str">
        <f>UPPER(IF(OR(,G40="PRACTICAL - UG",G40="PRACTICAL - PG"),'Paste here'!AV40,"  -NA-  "))</f>
        <v xml:space="preserve">  -NA-  </v>
      </c>
      <c r="BR40" s="62" t="str">
        <f>UPPER(IF(OR(G40="PRACTICAL - UG",G40="PRACTICAL - PG"),'Paste here'!AW40,"  -NA-  "))</f>
        <v xml:space="preserve">  -NA-  </v>
      </c>
      <c r="BS40" s="62" t="str">
        <f>UPPER(IF(OR(G40="PRACTICAL - UG",G40="PRACTICAL - PG"),'Paste here'!AX40,"  -NA-  "))</f>
        <v xml:space="preserve">  -NA-  </v>
      </c>
      <c r="BT40" s="39" t="str">
        <f>IF(OR(AG40="ENGLISH",AG40="MBA"),"",IF(OR(G40="PRACTICAL - UG",G40="PRACTICAL - PG"),Technician!L40,""))</f>
        <v/>
      </c>
    </row>
    <row r="41" spans="1:72" ht="21.75" customHeight="1" x14ac:dyDescent="0.25">
      <c r="A41" s="5" t="str">
        <f>'Paste here'!A41</f>
        <v>L46</v>
      </c>
      <c r="B41" s="39">
        <f>'Paste here'!F41</f>
        <v>0</v>
      </c>
      <c r="C41" s="39">
        <f>'Paste here'!J41</f>
        <v>0</v>
      </c>
      <c r="D41" s="39">
        <f>'Paste here'!K41</f>
        <v>0</v>
      </c>
      <c r="E41" s="39" t="str">
        <f>UPPER('Paste here'!H41)</f>
        <v/>
      </c>
      <c r="F41" s="39">
        <f>'Paste here'!I41</f>
        <v>0</v>
      </c>
      <c r="G41" s="39">
        <f>'Paste here'!G41</f>
        <v>0</v>
      </c>
      <c r="H41" s="84">
        <f>'Paste here'!D41</f>
        <v>0</v>
      </c>
      <c r="I41" s="39">
        <f>'Paste here'!E41</f>
        <v>0</v>
      </c>
      <c r="J41" s="63"/>
      <c r="K41" s="39">
        <f>'Paste here'!O41</f>
        <v>0</v>
      </c>
      <c r="L41" s="67" t="str">
        <f>UPPER('Paste here'!P41)</f>
        <v/>
      </c>
      <c r="M41" s="39">
        <f>'Paste here'!S41</f>
        <v>0</v>
      </c>
      <c r="N41" s="39">
        <f>'Paste here'!R41</f>
        <v>0</v>
      </c>
      <c r="O41" s="39">
        <f>'Paste here'!T41</f>
        <v>0</v>
      </c>
      <c r="P41" s="5" t="e">
        <f>IF(VLOOKUP(O41,'Distance matrix'!B$2:C$238,2,FALSE)&lt;36,"&lt;35",VLOOKUP(O41,'Distance matrix'!B$2:C$238,2,FALSE))</f>
        <v>#N/A</v>
      </c>
      <c r="Q41" s="39">
        <f>'Paste here'!Q41</f>
        <v>0</v>
      </c>
      <c r="R41" s="39">
        <f>'Paste here'!M41</f>
        <v>0</v>
      </c>
      <c r="S41" s="39">
        <f>'Paste here'!N41</f>
        <v>0</v>
      </c>
      <c r="T41" s="65" t="e">
        <f>External!K41</f>
        <v>#N/A</v>
      </c>
      <c r="U41" s="62">
        <f>External!M41</f>
        <v>0</v>
      </c>
      <c r="V41" s="62">
        <f>External!L41</f>
        <v>0</v>
      </c>
      <c r="W41" s="62" t="e">
        <f>External!N41</f>
        <v>#N/A</v>
      </c>
      <c r="X41" s="39">
        <f>'Paste here'!U41</f>
        <v>0</v>
      </c>
      <c r="Y41" s="39" t="str">
        <f>UPPER('Paste here'!V41)</f>
        <v/>
      </c>
      <c r="Z41" s="39" t="str">
        <f>UPPER('Paste here'!W41)</f>
        <v/>
      </c>
      <c r="AA41" s="39" t="str">
        <f>UPPER('Paste here'!X41)</f>
        <v/>
      </c>
      <c r="AB41" s="39" t="e">
        <f>External!O41</f>
        <v>#VALUE!</v>
      </c>
      <c r="AC41" s="63"/>
      <c r="AD41" s="62">
        <f>'Paste here'!Y41</f>
        <v>0</v>
      </c>
      <c r="AE41" s="62" t="str">
        <f>UPPER('Paste here'!Z41)</f>
        <v/>
      </c>
      <c r="AF41" s="62">
        <f>'Paste here'!AC41</f>
        <v>0</v>
      </c>
      <c r="AG41" s="62">
        <f>'Paste here'!AB41</f>
        <v>0</v>
      </c>
      <c r="AH41" s="62" t="s">
        <v>47</v>
      </c>
      <c r="AI41" s="62">
        <f>'Paste here'!AA41</f>
        <v>0</v>
      </c>
      <c r="AJ41" s="62">
        <f>'Paste here'!M41</f>
        <v>0</v>
      </c>
      <c r="AK41" s="62">
        <f>'Paste here'!N41</f>
        <v>0</v>
      </c>
      <c r="AL41" s="62" t="e">
        <f>Internal!L41</f>
        <v>#N/A</v>
      </c>
      <c r="AM41" s="62">
        <f>'Paste here'!AD41</f>
        <v>0</v>
      </c>
      <c r="AN41" s="62" t="str">
        <f>UPPER('Paste here'!AE41)</f>
        <v/>
      </c>
      <c r="AO41" s="62" t="str">
        <f>UPPER('Paste here'!AF41)</f>
        <v/>
      </c>
      <c r="AP41" s="62" t="str">
        <f>UPPER('Paste here'!AG41)</f>
        <v/>
      </c>
      <c r="AQ41" s="62" t="e">
        <f>Internal!M41</f>
        <v>#VALUE!</v>
      </c>
      <c r="AR41" s="63"/>
      <c r="AS41" s="62" t="str">
        <f>IF(OR(G41="TCPL",G41="PRACTICAL - UG",G41="PRACTICAL - PG"),'Paste here'!AH41,"")</f>
        <v/>
      </c>
      <c r="AT41" s="62" t="str">
        <f>UPPER(IF(OR(G41="TCPL",G41="PRACTICAL - UG",G41="PRACTICAL - PG"),'Paste here'!AI41,"  -NA-  "))</f>
        <v xml:space="preserve">  -NA-  </v>
      </c>
      <c r="AU41" s="62" t="str">
        <f>IF(OR(G41="TCPL",G41="PRACTICAL - UG",G41="PRACTICAL - PG"),'Paste here'!AL41,"  -NA-  ")</f>
        <v xml:space="preserve">  -NA-  </v>
      </c>
      <c r="AV41" s="62" t="str">
        <f>IF(OR(G41="TCPL",G41="PRACTICAL - UG",G41="PRACTICAL - PG"),'Paste here'!AK41,"  -NA-  ")</f>
        <v xml:space="preserve">  -NA-  </v>
      </c>
      <c r="AW41" s="62" t="str">
        <f t="shared" si="4"/>
        <v xml:space="preserve">  -NA-  </v>
      </c>
      <c r="AX41" s="62" t="str">
        <f>IF(OR(G41="TCPL",G41="PRACTICAL - UG",G41="PRACTICAL - PG"),'Paste here'!AJ41,"  -NA-  ")</f>
        <v xml:space="preserve">  -NA-  </v>
      </c>
      <c r="AY41" s="62" t="str">
        <f>IF(OR(G41="TCPL",G41="PRACTICAL - UG",G41="PRACTICAL - PG"),'Paste here'!M41,"  -NA-  ")</f>
        <v xml:space="preserve">  -NA-  </v>
      </c>
      <c r="AZ41" s="62" t="str">
        <f>IF(OR(G41="TCPL",G41="PRACTICAL - UG",G41="PRACTICAL - PG"),'Paste here'!N41,"  -NA-  ")</f>
        <v xml:space="preserve">  -NA-  </v>
      </c>
      <c r="BA41" s="62" t="str">
        <f>IF(OR(G41="TCPL",G41="PRACTICAL - UG",G41="PRACTICAL - PG"),Skilled!K41,"  -NA-  ")</f>
        <v xml:space="preserve">  -NA-  </v>
      </c>
      <c r="BB41" s="62" t="str">
        <f>IF(OR(G41="TCPL",G41="PRACTICAL - UG",G41="PRACTICAL - PG"),'Paste here'!AM41,"  -NA-  ")</f>
        <v xml:space="preserve">  -NA-  </v>
      </c>
      <c r="BC41" s="62" t="str">
        <f>UPPER(IF(OR(G41="TCPL",G41="PRACTICAL - UG",G41="PRACTICAL - PG"),'Paste here'!AN41,"  -NA-  "))</f>
        <v xml:space="preserve">  -NA-  </v>
      </c>
      <c r="BD41" s="62" t="str">
        <f>UPPER(IF(OR(G41="TCPL",G41="PRACTICAL - UG",G41="PRACTICAL - PG"),'Paste here'!AO41,"  -NA-  "))</f>
        <v xml:space="preserve">  -NA-  </v>
      </c>
      <c r="BE41" s="62" t="str">
        <f>UPPER(IF(OR(G41="TCPL",G41="PRACTICAL - UG",G41="PRACTICAL - PG"),'Paste here'!AP41,"  -NA-  "))</f>
        <v xml:space="preserve">  -NA-  </v>
      </c>
      <c r="BF41" s="62" t="str">
        <f>IF(OR(G41="TCPL",G41="PRACTICAL - UG",G41="PRACTICAL - PG"),Skilled!L41,"")</f>
        <v/>
      </c>
      <c r="BG41" s="63"/>
      <c r="BH41" s="62" t="str">
        <f>IF(OR(AG41="ENGLISH",AG41="MBA"),"",IF(OR(G41="PRACTICAL - UG",G41="PRACTICAL - PG"),'Paste here'!AQ41,""))</f>
        <v/>
      </c>
      <c r="BI41" s="62" t="str">
        <f>UPPER(IF(OR(G41="PRACTICAL - UG",G41="PRACTICAL - PG"),'Paste here'!AR41,"  -NA-  "))</f>
        <v xml:space="preserve">  -NA-  </v>
      </c>
      <c r="BJ41" s="62" t="str">
        <f>IF(OR(G41="PRACTICAL - UG",G41="PRACTICAL - PG"),'Paste here'!AT41,"  -NA-  ")</f>
        <v xml:space="preserve">  -NA-  </v>
      </c>
      <c r="BK41" s="62" t="str">
        <f t="shared" si="5"/>
        <v xml:space="preserve">  -NA-  </v>
      </c>
      <c r="BL41" s="62" t="str">
        <f>IF(OR(G41="PRACTICAL - UG",G41="PRACTICAL - PG"),'Paste here'!AS41,"  -NA-  ")</f>
        <v xml:space="preserve">  -NA-  </v>
      </c>
      <c r="BM41" s="62" t="str">
        <f>IF(OR(G41="PRACTICAL - UG",G41="PRACTICAL - PG"),'Paste here'!M41,"  -NA-  ")</f>
        <v xml:space="preserve">  -NA-  </v>
      </c>
      <c r="BN41" s="62" t="str">
        <f>IF(OR(G41="PRACTICAL - UG",G41="PRACTICAL - PG"),'Paste here'!N41,"  -NA-  ")</f>
        <v xml:space="preserve">  -NA-  </v>
      </c>
      <c r="BO41" s="62" t="str">
        <f>IF(OR(AG41="ENGLISH",AG41="MBA"),"",IF(OR(G41="PRACTICAL - UG",G41="PRACTICAL - PG"),Technician!J41,"  -NA-  "))</f>
        <v xml:space="preserve">  -NA-  </v>
      </c>
      <c r="BP41" s="62" t="str">
        <f>IF(OR(G41="PRACTICAL - UG",G41="PRACTICAL - PG"),'Paste here'!AU41,"  -NA-  ")</f>
        <v xml:space="preserve">  -NA-  </v>
      </c>
      <c r="BQ41" s="62" t="str">
        <f>UPPER(IF(OR(,G41="PRACTICAL - UG",G41="PRACTICAL - PG"),'Paste here'!AV41,"  -NA-  "))</f>
        <v xml:space="preserve">  -NA-  </v>
      </c>
      <c r="BR41" s="62" t="str">
        <f>UPPER(IF(OR(G41="PRACTICAL - UG",G41="PRACTICAL - PG"),'Paste here'!AW41,"  -NA-  "))</f>
        <v xml:space="preserve">  -NA-  </v>
      </c>
      <c r="BS41" s="62" t="str">
        <f>UPPER(IF(OR(G41="PRACTICAL - UG",G41="PRACTICAL - PG"),'Paste here'!AX41,"  -NA-  "))</f>
        <v xml:space="preserve">  -NA-  </v>
      </c>
      <c r="BT41" s="39" t="str">
        <f>IF(OR(AG41="ENGLISH",AG41="MBA"),"",IF(OR(G41="PRACTICAL - UG",G41="PRACTICAL - PG"),Technician!L41,""))</f>
        <v/>
      </c>
    </row>
    <row r="42" spans="1:72" ht="21.75" customHeight="1" x14ac:dyDescent="0.25">
      <c r="A42" s="5" t="str">
        <f>'Paste here'!A42</f>
        <v>L47</v>
      </c>
      <c r="B42" s="39">
        <f>'Paste here'!F42</f>
        <v>0</v>
      </c>
      <c r="C42" s="39">
        <f>'Paste here'!J42</f>
        <v>0</v>
      </c>
      <c r="D42" s="39">
        <f>'Paste here'!K42</f>
        <v>0</v>
      </c>
      <c r="E42" s="39" t="str">
        <f>UPPER('Paste here'!H42)</f>
        <v/>
      </c>
      <c r="F42" s="39">
        <f>'Paste here'!I42</f>
        <v>0</v>
      </c>
      <c r="G42" s="39">
        <f>'Paste here'!G42</f>
        <v>0</v>
      </c>
      <c r="H42" s="84">
        <f>'Paste here'!D42</f>
        <v>0</v>
      </c>
      <c r="I42" s="39">
        <f>'Paste here'!E42</f>
        <v>0</v>
      </c>
      <c r="J42" s="63"/>
      <c r="K42" s="39">
        <f>'Paste here'!O42</f>
        <v>0</v>
      </c>
      <c r="L42" s="67" t="str">
        <f>UPPER('Paste here'!P42)</f>
        <v/>
      </c>
      <c r="M42" s="39">
        <f>'Paste here'!S42</f>
        <v>0</v>
      </c>
      <c r="N42" s="39">
        <f>'Paste here'!R42</f>
        <v>0</v>
      </c>
      <c r="O42" s="39">
        <f>'Paste here'!T42</f>
        <v>0</v>
      </c>
      <c r="P42" s="5" t="e">
        <f>IF(VLOOKUP(O42,'Distance matrix'!B$2:C$238,2,FALSE)&lt;36,"&lt;35",VLOOKUP(O42,'Distance matrix'!B$2:C$238,2,FALSE))</f>
        <v>#N/A</v>
      </c>
      <c r="Q42" s="39">
        <f>'Paste here'!Q42</f>
        <v>0</v>
      </c>
      <c r="R42" s="39">
        <f>'Paste here'!M42</f>
        <v>0</v>
      </c>
      <c r="S42" s="39">
        <f>'Paste here'!N42</f>
        <v>0</v>
      </c>
      <c r="T42" s="65" t="e">
        <f>External!K42</f>
        <v>#N/A</v>
      </c>
      <c r="U42" s="62">
        <f>External!M42</f>
        <v>0</v>
      </c>
      <c r="V42" s="62">
        <f>External!L42</f>
        <v>0</v>
      </c>
      <c r="W42" s="62" t="e">
        <f>External!N42</f>
        <v>#N/A</v>
      </c>
      <c r="X42" s="39">
        <f>'Paste here'!U42</f>
        <v>0</v>
      </c>
      <c r="Y42" s="39" t="str">
        <f>UPPER('Paste here'!V42)</f>
        <v/>
      </c>
      <c r="Z42" s="39" t="str">
        <f>UPPER('Paste here'!W42)</f>
        <v/>
      </c>
      <c r="AA42" s="39" t="str">
        <f>UPPER('Paste here'!X42)</f>
        <v/>
      </c>
      <c r="AB42" s="39" t="e">
        <f>External!O42</f>
        <v>#VALUE!</v>
      </c>
      <c r="AC42" s="63"/>
      <c r="AD42" s="62">
        <f>'Paste here'!Y42</f>
        <v>0</v>
      </c>
      <c r="AE42" s="62" t="str">
        <f>UPPER('Paste here'!Z42)</f>
        <v/>
      </c>
      <c r="AF42" s="62">
        <f>'Paste here'!AC42</f>
        <v>0</v>
      </c>
      <c r="AG42" s="62">
        <f>'Paste here'!AB42</f>
        <v>0</v>
      </c>
      <c r="AH42" s="62" t="s">
        <v>47</v>
      </c>
      <c r="AI42" s="62">
        <f>'Paste here'!AA42</f>
        <v>0</v>
      </c>
      <c r="AJ42" s="62">
        <f>'Paste here'!M42</f>
        <v>0</v>
      </c>
      <c r="AK42" s="62">
        <f>'Paste here'!N42</f>
        <v>0</v>
      </c>
      <c r="AL42" s="62" t="e">
        <f>Internal!L42</f>
        <v>#N/A</v>
      </c>
      <c r="AM42" s="62">
        <f>'Paste here'!AD42</f>
        <v>0</v>
      </c>
      <c r="AN42" s="62" t="str">
        <f>UPPER('Paste here'!AE42)</f>
        <v/>
      </c>
      <c r="AO42" s="62" t="str">
        <f>UPPER('Paste here'!AF42)</f>
        <v/>
      </c>
      <c r="AP42" s="62" t="str">
        <f>UPPER('Paste here'!AG42)</f>
        <v/>
      </c>
      <c r="AQ42" s="62" t="e">
        <f>Internal!M42</f>
        <v>#VALUE!</v>
      </c>
      <c r="AR42" s="63"/>
      <c r="AS42" s="62" t="str">
        <f>IF(OR(G42="TCPL",G42="PRACTICAL - UG",G42="PRACTICAL - PG"),'Paste here'!AH42,"")</f>
        <v/>
      </c>
      <c r="AT42" s="62" t="str">
        <f>UPPER(IF(OR(G42="TCPL",G42="PRACTICAL - UG",G42="PRACTICAL - PG"),'Paste here'!AI42,"  -NA-  "))</f>
        <v xml:space="preserve">  -NA-  </v>
      </c>
      <c r="AU42" s="62" t="str">
        <f>IF(OR(G42="TCPL",G42="PRACTICAL - UG",G42="PRACTICAL - PG"),'Paste here'!AL42,"  -NA-  ")</f>
        <v xml:space="preserve">  -NA-  </v>
      </c>
      <c r="AV42" s="62" t="str">
        <f>IF(OR(G42="TCPL",G42="PRACTICAL - UG",G42="PRACTICAL - PG"),'Paste here'!AK42,"  -NA-  ")</f>
        <v xml:space="preserve">  -NA-  </v>
      </c>
      <c r="AW42" s="62" t="str">
        <f t="shared" si="4"/>
        <v xml:space="preserve">  -NA-  </v>
      </c>
      <c r="AX42" s="62" t="str">
        <f>IF(OR(G42="TCPL",G42="PRACTICAL - UG",G42="PRACTICAL - PG"),'Paste here'!AJ42,"  -NA-  ")</f>
        <v xml:space="preserve">  -NA-  </v>
      </c>
      <c r="AY42" s="62" t="str">
        <f>IF(OR(G42="TCPL",G42="PRACTICAL - UG",G42="PRACTICAL - PG"),'Paste here'!M42,"  -NA-  ")</f>
        <v xml:space="preserve">  -NA-  </v>
      </c>
      <c r="AZ42" s="62" t="str">
        <f>IF(OR(G42="TCPL",G42="PRACTICAL - UG",G42="PRACTICAL - PG"),'Paste here'!N42,"  -NA-  ")</f>
        <v xml:space="preserve">  -NA-  </v>
      </c>
      <c r="BA42" s="62" t="str">
        <f>IF(OR(G42="TCPL",G42="PRACTICAL - UG",G42="PRACTICAL - PG"),Skilled!K42,"  -NA-  ")</f>
        <v xml:space="preserve">  -NA-  </v>
      </c>
      <c r="BB42" s="62" t="str">
        <f>IF(OR(G42="TCPL",G42="PRACTICAL - UG",G42="PRACTICAL - PG"),'Paste here'!AM42,"  -NA-  ")</f>
        <v xml:space="preserve">  -NA-  </v>
      </c>
      <c r="BC42" s="62" t="str">
        <f>UPPER(IF(OR(G42="TCPL",G42="PRACTICAL - UG",G42="PRACTICAL - PG"),'Paste here'!AN42,"  -NA-  "))</f>
        <v xml:space="preserve">  -NA-  </v>
      </c>
      <c r="BD42" s="62" t="str">
        <f>UPPER(IF(OR(G42="TCPL",G42="PRACTICAL - UG",G42="PRACTICAL - PG"),'Paste here'!AO42,"  -NA-  "))</f>
        <v xml:space="preserve">  -NA-  </v>
      </c>
      <c r="BE42" s="62" t="str">
        <f>UPPER(IF(OR(G42="TCPL",G42="PRACTICAL - UG",G42="PRACTICAL - PG"),'Paste here'!AP42,"  -NA-  "))</f>
        <v xml:space="preserve">  -NA-  </v>
      </c>
      <c r="BF42" s="62" t="str">
        <f>IF(OR(G42="TCPL",G42="PRACTICAL - UG",G42="PRACTICAL - PG"),Skilled!L42,"")</f>
        <v/>
      </c>
      <c r="BG42" s="63"/>
      <c r="BH42" s="62" t="str">
        <f>IF(OR(AG42="ENGLISH",AG42="MBA"),"",IF(OR(G42="PRACTICAL - UG",G42="PRACTICAL - PG"),'Paste here'!AQ42,""))</f>
        <v/>
      </c>
      <c r="BI42" s="62" t="str">
        <f>UPPER(IF(OR(G42="PRACTICAL - UG",G42="PRACTICAL - PG"),'Paste here'!AR42,"  -NA-  "))</f>
        <v xml:space="preserve">  -NA-  </v>
      </c>
      <c r="BJ42" s="62" t="str">
        <f>IF(OR(G42="PRACTICAL - UG",G42="PRACTICAL - PG"),'Paste here'!AT42,"  -NA-  ")</f>
        <v xml:space="preserve">  -NA-  </v>
      </c>
      <c r="BK42" s="62" t="str">
        <f t="shared" si="5"/>
        <v xml:space="preserve">  -NA-  </v>
      </c>
      <c r="BL42" s="62" t="str">
        <f>IF(OR(G42="PRACTICAL - UG",G42="PRACTICAL - PG"),'Paste here'!AS42,"  -NA-  ")</f>
        <v xml:space="preserve">  -NA-  </v>
      </c>
      <c r="BM42" s="62" t="str">
        <f>IF(OR(G42="PRACTICAL - UG",G42="PRACTICAL - PG"),'Paste here'!M42,"  -NA-  ")</f>
        <v xml:space="preserve">  -NA-  </v>
      </c>
      <c r="BN42" s="62" t="str">
        <f>IF(OR(G42="PRACTICAL - UG",G42="PRACTICAL - PG"),'Paste here'!N42,"  -NA-  ")</f>
        <v xml:space="preserve">  -NA-  </v>
      </c>
      <c r="BO42" s="62" t="str">
        <f>IF(OR(AG42="ENGLISH",AG42="MBA"),"",IF(OR(G42="PRACTICAL - UG",G42="PRACTICAL - PG"),Technician!J42,"  -NA-  "))</f>
        <v xml:space="preserve">  -NA-  </v>
      </c>
      <c r="BP42" s="62" t="str">
        <f>IF(OR(G42="PRACTICAL - UG",G42="PRACTICAL - PG"),'Paste here'!AU42,"  -NA-  ")</f>
        <v xml:space="preserve">  -NA-  </v>
      </c>
      <c r="BQ42" s="62" t="str">
        <f>UPPER(IF(OR(,G42="PRACTICAL - UG",G42="PRACTICAL - PG"),'Paste here'!AV42,"  -NA-  "))</f>
        <v xml:space="preserve">  -NA-  </v>
      </c>
      <c r="BR42" s="62" t="str">
        <f>UPPER(IF(OR(G42="PRACTICAL - UG",G42="PRACTICAL - PG"),'Paste here'!AW42,"  -NA-  "))</f>
        <v xml:space="preserve">  -NA-  </v>
      </c>
      <c r="BS42" s="62" t="str">
        <f>UPPER(IF(OR(G42="PRACTICAL - UG",G42="PRACTICAL - PG"),'Paste here'!AX42,"  -NA-  "))</f>
        <v xml:space="preserve">  -NA-  </v>
      </c>
      <c r="BT42" s="39" t="str">
        <f>IF(OR(AG42="ENGLISH",AG42="MBA"),"",IF(OR(G42="PRACTICAL - UG",G42="PRACTICAL - PG"),Technician!L42,""))</f>
        <v/>
      </c>
    </row>
    <row r="43" spans="1:72" ht="21.75" customHeight="1" x14ac:dyDescent="0.25">
      <c r="A43" s="5" t="str">
        <f>'Paste here'!A43</f>
        <v>L48</v>
      </c>
      <c r="B43" s="39">
        <f>'Paste here'!F43</f>
        <v>0</v>
      </c>
      <c r="C43" s="39">
        <f>'Paste here'!J43</f>
        <v>0</v>
      </c>
      <c r="D43" s="39">
        <f>'Paste here'!K43</f>
        <v>0</v>
      </c>
      <c r="E43" s="39" t="str">
        <f>UPPER('Paste here'!H43)</f>
        <v/>
      </c>
      <c r="F43" s="39">
        <f>'Paste here'!I43</f>
        <v>0</v>
      </c>
      <c r="G43" s="39">
        <f>'Paste here'!G43</f>
        <v>0</v>
      </c>
      <c r="H43" s="84">
        <f>'Paste here'!D43</f>
        <v>0</v>
      </c>
      <c r="I43" s="39">
        <f>'Paste here'!E43</f>
        <v>0</v>
      </c>
      <c r="J43" s="63"/>
      <c r="K43" s="39">
        <f>'Paste here'!O43</f>
        <v>0</v>
      </c>
      <c r="L43" s="67" t="str">
        <f>UPPER('Paste here'!P43)</f>
        <v/>
      </c>
      <c r="M43" s="39">
        <f>'Paste here'!S43</f>
        <v>0</v>
      </c>
      <c r="N43" s="39">
        <f>'Paste here'!R43</f>
        <v>0</v>
      </c>
      <c r="O43" s="39">
        <f>'Paste here'!T43</f>
        <v>0</v>
      </c>
      <c r="P43" s="5" t="e">
        <f>IF(VLOOKUP(O43,'Distance matrix'!B$2:C$238,2,FALSE)&lt;36,"&lt;35",VLOOKUP(O43,'Distance matrix'!B$2:C$238,2,FALSE))</f>
        <v>#N/A</v>
      </c>
      <c r="Q43" s="39">
        <f>'Paste here'!Q43</f>
        <v>0</v>
      </c>
      <c r="R43" s="39">
        <f>'Paste here'!M43</f>
        <v>0</v>
      </c>
      <c r="S43" s="39">
        <f>'Paste here'!N43</f>
        <v>0</v>
      </c>
      <c r="T43" s="65" t="e">
        <f>External!K43</f>
        <v>#N/A</v>
      </c>
      <c r="U43" s="62">
        <f>External!M43</f>
        <v>0</v>
      </c>
      <c r="V43" s="62">
        <f>External!L43</f>
        <v>0</v>
      </c>
      <c r="W43" s="62" t="e">
        <f>External!N43</f>
        <v>#N/A</v>
      </c>
      <c r="X43" s="39">
        <f>'Paste here'!U43</f>
        <v>0</v>
      </c>
      <c r="Y43" s="39" t="str">
        <f>UPPER('Paste here'!V43)</f>
        <v/>
      </c>
      <c r="Z43" s="39" t="str">
        <f>UPPER('Paste here'!W43)</f>
        <v/>
      </c>
      <c r="AA43" s="39" t="str">
        <f>UPPER('Paste here'!X43)</f>
        <v/>
      </c>
      <c r="AB43" s="39" t="e">
        <f>External!O43</f>
        <v>#VALUE!</v>
      </c>
      <c r="AC43" s="63"/>
      <c r="AD43" s="62">
        <f>'Paste here'!Y43</f>
        <v>0</v>
      </c>
      <c r="AE43" s="62" t="str">
        <f>UPPER('Paste here'!Z43)</f>
        <v/>
      </c>
      <c r="AF43" s="62">
        <f>'Paste here'!AC43</f>
        <v>0</v>
      </c>
      <c r="AG43" s="62">
        <f>'Paste here'!AB43</f>
        <v>0</v>
      </c>
      <c r="AH43" s="62" t="s">
        <v>47</v>
      </c>
      <c r="AI43" s="62">
        <f>'Paste here'!AA43</f>
        <v>0</v>
      </c>
      <c r="AJ43" s="62">
        <f>'Paste here'!M43</f>
        <v>0</v>
      </c>
      <c r="AK43" s="62">
        <f>'Paste here'!N43</f>
        <v>0</v>
      </c>
      <c r="AL43" s="62" t="e">
        <f>Internal!L43</f>
        <v>#N/A</v>
      </c>
      <c r="AM43" s="62">
        <f>'Paste here'!AD43</f>
        <v>0</v>
      </c>
      <c r="AN43" s="62" t="str">
        <f>UPPER('Paste here'!AE43)</f>
        <v/>
      </c>
      <c r="AO43" s="62" t="str">
        <f>UPPER('Paste here'!AF43)</f>
        <v/>
      </c>
      <c r="AP43" s="62" t="str">
        <f>UPPER('Paste here'!AG43)</f>
        <v/>
      </c>
      <c r="AQ43" s="62" t="e">
        <f>Internal!M43</f>
        <v>#VALUE!</v>
      </c>
      <c r="AR43" s="63"/>
      <c r="AS43" s="62" t="str">
        <f>IF(OR(G43="TCPL",G43="PRACTICAL - UG",G43="PRACTICAL - PG"),'Paste here'!AH43,"")</f>
        <v/>
      </c>
      <c r="AT43" s="62" t="str">
        <f>UPPER(IF(OR(G43="TCPL",G43="PRACTICAL - UG",G43="PRACTICAL - PG"),'Paste here'!AI43,"  -NA-  "))</f>
        <v xml:space="preserve">  -NA-  </v>
      </c>
      <c r="AU43" s="62" t="str">
        <f>IF(OR(G43="TCPL",G43="PRACTICAL - UG",G43="PRACTICAL - PG"),'Paste here'!AL43,"  -NA-  ")</f>
        <v xml:space="preserve">  -NA-  </v>
      </c>
      <c r="AV43" s="62" t="str">
        <f>IF(OR(G43="TCPL",G43="PRACTICAL - UG",G43="PRACTICAL - PG"),'Paste here'!AK43,"  -NA-  ")</f>
        <v xml:space="preserve">  -NA-  </v>
      </c>
      <c r="AW43" s="62" t="str">
        <f t="shared" si="4"/>
        <v xml:space="preserve">  -NA-  </v>
      </c>
      <c r="AX43" s="62" t="str">
        <f>IF(OR(G43="TCPL",G43="PRACTICAL - UG",G43="PRACTICAL - PG"),'Paste here'!AJ43,"  -NA-  ")</f>
        <v xml:space="preserve">  -NA-  </v>
      </c>
      <c r="AY43" s="62" t="str">
        <f>IF(OR(G43="TCPL",G43="PRACTICAL - UG",G43="PRACTICAL - PG"),'Paste here'!M43,"  -NA-  ")</f>
        <v xml:space="preserve">  -NA-  </v>
      </c>
      <c r="AZ43" s="62" t="str">
        <f>IF(OR(G43="TCPL",G43="PRACTICAL - UG",G43="PRACTICAL - PG"),'Paste here'!N43,"  -NA-  ")</f>
        <v xml:space="preserve">  -NA-  </v>
      </c>
      <c r="BA43" s="62" t="str">
        <f>IF(OR(G43="TCPL",G43="PRACTICAL - UG",G43="PRACTICAL - PG"),Skilled!K43,"  -NA-  ")</f>
        <v xml:space="preserve">  -NA-  </v>
      </c>
      <c r="BB43" s="62" t="str">
        <f>IF(OR(G43="TCPL",G43="PRACTICAL - UG",G43="PRACTICAL - PG"),'Paste here'!AM43,"  -NA-  ")</f>
        <v xml:space="preserve">  -NA-  </v>
      </c>
      <c r="BC43" s="62" t="str">
        <f>UPPER(IF(OR(G43="TCPL",G43="PRACTICAL - UG",G43="PRACTICAL - PG"),'Paste here'!AN43,"  -NA-  "))</f>
        <v xml:space="preserve">  -NA-  </v>
      </c>
      <c r="BD43" s="62" t="str">
        <f>UPPER(IF(OR(G43="TCPL",G43="PRACTICAL - UG",G43="PRACTICAL - PG"),'Paste here'!AO43,"  -NA-  "))</f>
        <v xml:space="preserve">  -NA-  </v>
      </c>
      <c r="BE43" s="62" t="str">
        <f>UPPER(IF(OR(G43="TCPL",G43="PRACTICAL - UG",G43="PRACTICAL - PG"),'Paste here'!AP43,"  -NA-  "))</f>
        <v xml:space="preserve">  -NA-  </v>
      </c>
      <c r="BF43" s="62" t="str">
        <f>IF(OR(G43="TCPL",G43="PRACTICAL - UG",G43="PRACTICAL - PG"),Skilled!L43,"")</f>
        <v/>
      </c>
      <c r="BG43" s="63"/>
      <c r="BH43" s="62" t="str">
        <f>IF(OR(AG43="ENGLISH",AG43="MBA"),"",IF(OR(G43="PRACTICAL - UG",G43="PRACTICAL - PG"),'Paste here'!AQ43,""))</f>
        <v/>
      </c>
      <c r="BI43" s="62" t="str">
        <f>UPPER(IF(OR(G43="PRACTICAL - UG",G43="PRACTICAL - PG"),'Paste here'!AR43,"  -NA-  "))</f>
        <v xml:space="preserve">  -NA-  </v>
      </c>
      <c r="BJ43" s="62" t="str">
        <f>IF(OR(G43="PRACTICAL - UG",G43="PRACTICAL - PG"),'Paste here'!AT43,"  -NA-  ")</f>
        <v xml:space="preserve">  -NA-  </v>
      </c>
      <c r="BK43" s="62" t="str">
        <f t="shared" si="5"/>
        <v xml:space="preserve">  -NA-  </v>
      </c>
      <c r="BL43" s="62" t="str">
        <f>IF(OR(G43="PRACTICAL - UG",G43="PRACTICAL - PG"),'Paste here'!AS43,"  -NA-  ")</f>
        <v xml:space="preserve">  -NA-  </v>
      </c>
      <c r="BM43" s="62" t="str">
        <f>IF(OR(G43="PRACTICAL - UG",G43="PRACTICAL - PG"),'Paste here'!M43,"  -NA-  ")</f>
        <v xml:space="preserve">  -NA-  </v>
      </c>
      <c r="BN43" s="62" t="str">
        <f>IF(OR(G43="PRACTICAL - UG",G43="PRACTICAL - PG"),'Paste here'!N43,"  -NA-  ")</f>
        <v xml:space="preserve">  -NA-  </v>
      </c>
      <c r="BO43" s="62" t="str">
        <f>IF(OR(AG43="ENGLISH",AG43="MBA"),"",IF(OR(G43="PRACTICAL - UG",G43="PRACTICAL - PG"),Technician!J43,"  -NA-  "))</f>
        <v xml:space="preserve">  -NA-  </v>
      </c>
      <c r="BP43" s="62" t="str">
        <f>IF(OR(G43="PRACTICAL - UG",G43="PRACTICAL - PG"),'Paste here'!AU43,"  -NA-  ")</f>
        <v xml:space="preserve">  -NA-  </v>
      </c>
      <c r="BQ43" s="62" t="str">
        <f>UPPER(IF(OR(,G43="PRACTICAL - UG",G43="PRACTICAL - PG"),'Paste here'!AV43,"  -NA-  "))</f>
        <v xml:space="preserve">  -NA-  </v>
      </c>
      <c r="BR43" s="62" t="str">
        <f>UPPER(IF(OR(G43="PRACTICAL - UG",G43="PRACTICAL - PG"),'Paste here'!AW43,"  -NA-  "))</f>
        <v xml:space="preserve">  -NA-  </v>
      </c>
      <c r="BS43" s="62" t="str">
        <f>UPPER(IF(OR(G43="PRACTICAL - UG",G43="PRACTICAL - PG"),'Paste here'!AX43,"  -NA-  "))</f>
        <v xml:space="preserve">  -NA-  </v>
      </c>
      <c r="BT43" s="39" t="str">
        <f>IF(OR(AG43="ENGLISH",AG43="MBA"),"",IF(OR(G43="PRACTICAL - UG",G43="PRACTICAL - PG"),Technician!L43,""))</f>
        <v/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9"/>
  <sheetViews>
    <sheetView zoomScale="70" zoomScaleNormal="70" workbookViewId="0">
      <selection activeCell="O18" sqref="O18"/>
    </sheetView>
  </sheetViews>
  <sheetFormatPr defaultRowHeight="15" x14ac:dyDescent="0.25"/>
  <cols>
    <col min="2" max="2" width="19.140625" customWidth="1"/>
    <col min="3" max="3" width="5.85546875" customWidth="1"/>
    <col min="4" max="4" width="20.7109375" customWidth="1"/>
    <col min="5" max="5" width="50.7109375" customWidth="1"/>
    <col min="6" max="6" width="15" bestFit="1" customWidth="1"/>
    <col min="7" max="7" width="10.5703125" customWidth="1"/>
    <col min="8" max="8" width="16.7109375" bestFit="1" customWidth="1"/>
    <col min="9" max="9" width="22.5703125" customWidth="1"/>
    <col min="10" max="10" width="11.28515625" customWidth="1"/>
    <col min="11" max="11" width="10.42578125" bestFit="1" customWidth="1"/>
    <col min="12" max="12" width="11.28515625" style="2" customWidth="1"/>
    <col min="13" max="13" width="9.140625" style="2"/>
    <col min="15" max="15" width="56.28515625" style="8" customWidth="1"/>
    <col min="16" max="16" width="45.7109375" customWidth="1"/>
  </cols>
  <sheetData>
    <row r="1" spans="1:16" s="6" customFormat="1" ht="30" x14ac:dyDescent="0.25">
      <c r="A1" s="6" t="s">
        <v>109</v>
      </c>
      <c r="B1" s="6" t="s">
        <v>111</v>
      </c>
      <c r="C1" s="6" t="s">
        <v>113</v>
      </c>
      <c r="D1" s="6" t="s">
        <v>110</v>
      </c>
      <c r="E1" s="6" t="s">
        <v>118</v>
      </c>
      <c r="F1" s="6" t="s">
        <v>119</v>
      </c>
      <c r="G1" s="6" t="s">
        <v>115</v>
      </c>
      <c r="H1" s="6" t="s">
        <v>4</v>
      </c>
      <c r="I1" s="47" t="s">
        <v>365</v>
      </c>
      <c r="J1" s="6" t="s">
        <v>114</v>
      </c>
      <c r="K1" s="6" t="s">
        <v>116</v>
      </c>
      <c r="L1" s="6" t="s">
        <v>120</v>
      </c>
      <c r="M1" s="6" t="s">
        <v>117</v>
      </c>
      <c r="N1" s="6" t="s">
        <v>121</v>
      </c>
      <c r="O1" s="82"/>
    </row>
    <row r="2" spans="1:16" s="1" customFormat="1" ht="21" customHeight="1" x14ac:dyDescent="0.25">
      <c r="A2" s="13" t="s">
        <v>50</v>
      </c>
      <c r="B2" s="13" t="s">
        <v>112</v>
      </c>
      <c r="C2" s="13" t="str">
        <f>'Paste here'!O2</f>
        <v>Mrs.</v>
      </c>
      <c r="D2" s="13" t="str">
        <f>'Paste here'!P2</f>
        <v>Ranjani U</v>
      </c>
      <c r="E2" s="1" t="str">
        <f>'Paste here'!T2</f>
        <v>MAM SCHOOL OF ENGINEERING (8121)</v>
      </c>
      <c r="F2" s="13" t="str">
        <f>'Paste here'!E2</f>
        <v>Only FN</v>
      </c>
      <c r="G2" s="13" t="str">
        <f>'Paste here'!F2</f>
        <v>UG</v>
      </c>
      <c r="H2" s="13" t="str">
        <f>'Paste here'!G2</f>
        <v>TCPL</v>
      </c>
      <c r="I2" s="13" t="str">
        <f>'Paste here'!L2</f>
        <v>Regular Lab</v>
      </c>
      <c r="J2" s="13">
        <f>'Paste here'!N2</f>
        <v>22</v>
      </c>
      <c r="K2" s="64">
        <f>IF(J2*VLOOKUP(H2,'Claim Amount'!$B$3:$J$24,2,FALSE)&lt;VLOOKUP(H2,'Claim Amount'!$B$3:$J$24,3,FALSE),VLOOKUP(H2,'Claim Amount'!$B$3:$J$24,3,FALSE),J2*VLOOKUP(H2,'Claim Amount'!$B$3:$J$24,2,FALSE))</f>
        <v>440</v>
      </c>
      <c r="L2" s="13">
        <f>IF(I2="Regular Lab",VLOOKUP(F2,'Claim Amount'!$B$3:$J$13,2,FALSE),0)</f>
        <v>250</v>
      </c>
      <c r="M2" s="13">
        <f>IF(I2="Regular Lab",IF(VLOOKUP(External!E2,'Distance matrix'!$B$1:$C$310,2,FALSE)&lt;36,150,16*VLOOKUP(External!E2,'Distance matrix'!$B$1:$C$310,2,FALSE)),0)</f>
        <v>150</v>
      </c>
      <c r="N2" s="13">
        <f>K2+L2+M2</f>
        <v>840</v>
      </c>
      <c r="O2" s="61" t="str" cm="1">
        <f t="array" ref="O2">[1]!SPELLNUMBER(N2)</f>
        <v xml:space="preserve">Rupees Eight Hundred Fourty Only </v>
      </c>
      <c r="P2" s="3"/>
    </row>
    <row r="3" spans="1:16" s="1" customFormat="1" ht="21" customHeight="1" x14ac:dyDescent="0.25">
      <c r="A3" s="13" t="s">
        <v>78</v>
      </c>
      <c r="B3" s="13" t="s">
        <v>112</v>
      </c>
      <c r="C3" s="13">
        <f>'Paste here'!O3</f>
        <v>0</v>
      </c>
      <c r="D3" s="13">
        <f>'Paste here'!P3</f>
        <v>0</v>
      </c>
      <c r="E3" s="1">
        <f>'Paste here'!T3</f>
        <v>0</v>
      </c>
      <c r="F3" s="13">
        <f>'Paste here'!E3</f>
        <v>0</v>
      </c>
      <c r="G3" s="13">
        <f>'Paste here'!F3</f>
        <v>0</v>
      </c>
      <c r="H3" s="13">
        <f>'Paste here'!G3</f>
        <v>0</v>
      </c>
      <c r="I3" s="13">
        <f>'Paste here'!L3</f>
        <v>0</v>
      </c>
      <c r="J3" s="13">
        <f>'Paste here'!N3</f>
        <v>0</v>
      </c>
      <c r="K3" s="64" t="e">
        <f>IF(J3*VLOOKUP(H3,'Claim Amount'!$B$3:$J$24,2,FALSE)&lt;VLOOKUP(H3,'Claim Amount'!$B$3:$J$24,3,FALSE),VLOOKUP(H3,'Claim Amount'!$B$3:$J$24,3,FALSE),J3*VLOOKUP(H3,'Claim Amount'!$B$3:$J$24,2,FALSE))</f>
        <v>#N/A</v>
      </c>
      <c r="L3" s="13">
        <f>IF(I3="Regular Lab",VLOOKUP(F3,'Claim Amount'!$B$3:$J$13,2,FALSE),0)</f>
        <v>0</v>
      </c>
      <c r="M3" s="13">
        <f>IF(I3="Regular Lab",IF(VLOOKUP(External!E3,'Distance matrix'!$B$1:$C$310,2,FALSE)&lt;36,150,16*VLOOKUP(External!E3,'Distance matrix'!$B$1:$C$310,2,FALSE)),0)</f>
        <v>0</v>
      </c>
      <c r="N3" s="13" t="e">
        <f t="shared" ref="N3:N66" si="0">K3+L3+M3</f>
        <v>#N/A</v>
      </c>
      <c r="O3" s="61" t="e" cm="1">
        <f t="array" ref="O3">[1]!SPELLNUMBER(N3)</f>
        <v>#VALUE!</v>
      </c>
      <c r="P3" s="3"/>
    </row>
    <row r="4" spans="1:16" s="1" customFormat="1" ht="21" customHeight="1" x14ac:dyDescent="0.25">
      <c r="A4" s="13" t="s">
        <v>79</v>
      </c>
      <c r="B4" s="13" t="s">
        <v>112</v>
      </c>
      <c r="C4" s="13">
        <f>'Paste here'!O4</f>
        <v>0</v>
      </c>
      <c r="D4" s="13">
        <f>'Paste here'!P4</f>
        <v>0</v>
      </c>
      <c r="E4" s="1">
        <f>'Paste here'!T4</f>
        <v>0</v>
      </c>
      <c r="F4" s="13">
        <f>'Paste here'!E4</f>
        <v>0</v>
      </c>
      <c r="G4" s="13">
        <f>'Paste here'!F4</f>
        <v>0</v>
      </c>
      <c r="H4" s="13">
        <f>'Paste here'!G4</f>
        <v>0</v>
      </c>
      <c r="I4" s="13">
        <f>'Paste here'!L4</f>
        <v>0</v>
      </c>
      <c r="J4" s="13">
        <f>'Paste here'!N4</f>
        <v>0</v>
      </c>
      <c r="K4" s="64" t="e">
        <f>IF(J4*VLOOKUP(H4,'Claim Amount'!$B$3:$J$24,2,FALSE)&lt;VLOOKUP(H4,'Claim Amount'!$B$3:$J$24,3,FALSE),VLOOKUP(H4,'Claim Amount'!$B$3:$J$24,3,FALSE),J4*VLOOKUP(H4,'Claim Amount'!$B$3:$J$24,2,FALSE))</f>
        <v>#N/A</v>
      </c>
      <c r="L4" s="13">
        <f>IF(I4="Regular Lab",VLOOKUP(F4,'Claim Amount'!$B$3:$J$13,2,FALSE),0)</f>
        <v>0</v>
      </c>
      <c r="M4" s="13">
        <f>IF(I4="Regular Lab",IF(VLOOKUP(External!E4,'Distance matrix'!$B$1:$C$310,2,FALSE)&lt;36,150,16*VLOOKUP(External!E4,'Distance matrix'!$B$1:$C$310,2,FALSE)),0)</f>
        <v>0</v>
      </c>
      <c r="N4" s="13" t="e">
        <f t="shared" si="0"/>
        <v>#N/A</v>
      </c>
      <c r="O4" s="61" t="e" cm="1">
        <f t="array" ref="O4">[1]!SPELLNUMBER(N4)</f>
        <v>#VALUE!</v>
      </c>
      <c r="P4" s="3"/>
    </row>
    <row r="5" spans="1:16" s="1" customFormat="1" ht="21" customHeight="1" x14ac:dyDescent="0.25">
      <c r="A5" s="13" t="s">
        <v>51</v>
      </c>
      <c r="B5" s="13" t="s">
        <v>112</v>
      </c>
      <c r="C5" s="13">
        <f>'Paste here'!O5</f>
        <v>0</v>
      </c>
      <c r="D5" s="13">
        <f>'Paste here'!P5</f>
        <v>0</v>
      </c>
      <c r="E5" s="1">
        <f>'Paste here'!T5</f>
        <v>0</v>
      </c>
      <c r="F5" s="13">
        <f>'Paste here'!E5</f>
        <v>0</v>
      </c>
      <c r="G5" s="13">
        <f>'Paste here'!F5</f>
        <v>0</v>
      </c>
      <c r="H5" s="13">
        <f>'Paste here'!G5</f>
        <v>0</v>
      </c>
      <c r="I5" s="13">
        <f>'Paste here'!L5</f>
        <v>0</v>
      </c>
      <c r="J5" s="13">
        <f>'Paste here'!N5</f>
        <v>0</v>
      </c>
      <c r="K5" s="64" t="e">
        <f>IF(J5*VLOOKUP(H5,'Claim Amount'!$B$3:$J$24,2,FALSE)&lt;VLOOKUP(H5,'Claim Amount'!$B$3:$J$24,3,FALSE),VLOOKUP(H5,'Claim Amount'!$B$3:$J$24,3,FALSE),J5*VLOOKUP(H5,'Claim Amount'!$B$3:$J$24,2,FALSE))</f>
        <v>#N/A</v>
      </c>
      <c r="L5" s="13">
        <f>IF(I5="Regular Lab",VLOOKUP(F5,'Claim Amount'!$B$3:$J$13,2,FALSE),0)</f>
        <v>0</v>
      </c>
      <c r="M5" s="13">
        <f>IF(I5="Regular Lab",IF(VLOOKUP(External!E5,'Distance matrix'!$B$1:$C$310,2,FALSE)&lt;36,150,16*VLOOKUP(External!E5,'Distance matrix'!$B$1:$C$310,2,FALSE)),0)</f>
        <v>0</v>
      </c>
      <c r="N5" s="13" t="e">
        <f t="shared" si="0"/>
        <v>#N/A</v>
      </c>
      <c r="O5" s="61" t="e" cm="1">
        <f t="array" ref="O5">[1]!SPELLNUMBER(N5)</f>
        <v>#VALUE!</v>
      </c>
      <c r="P5" s="3"/>
    </row>
    <row r="6" spans="1:16" s="1" customFormat="1" ht="21" customHeight="1" x14ac:dyDescent="0.25">
      <c r="A6" s="13" t="s">
        <v>52</v>
      </c>
      <c r="B6" s="13" t="s">
        <v>112</v>
      </c>
      <c r="C6" s="13">
        <f>'Paste here'!O6</f>
        <v>0</v>
      </c>
      <c r="D6" s="13">
        <f>'Paste here'!P6</f>
        <v>0</v>
      </c>
      <c r="E6" s="1">
        <f>'Paste here'!T6</f>
        <v>0</v>
      </c>
      <c r="F6" s="13">
        <f>'Paste here'!E6</f>
        <v>0</v>
      </c>
      <c r="G6" s="13">
        <f>'Paste here'!F6</f>
        <v>0</v>
      </c>
      <c r="H6" s="13">
        <f>'Paste here'!G6</f>
        <v>0</v>
      </c>
      <c r="I6" s="13">
        <f>'Paste here'!L6</f>
        <v>0</v>
      </c>
      <c r="J6" s="13">
        <f>'Paste here'!N6</f>
        <v>0</v>
      </c>
      <c r="K6" s="64" t="e">
        <f>IF(J6*VLOOKUP(H6,'Claim Amount'!$B$3:$J$24,2,FALSE)&lt;VLOOKUP(H6,'Claim Amount'!$B$3:$J$24,3,FALSE),VLOOKUP(H6,'Claim Amount'!$B$3:$J$24,3,FALSE),J6*VLOOKUP(H6,'Claim Amount'!$B$3:$J$24,2,FALSE))</f>
        <v>#N/A</v>
      </c>
      <c r="L6" s="13">
        <f>IF(I6="Regular Lab",VLOOKUP(F6,'Claim Amount'!$B$3:$J$13,2,FALSE),0)</f>
        <v>0</v>
      </c>
      <c r="M6" s="13">
        <f>IF(I6="Regular Lab",IF(VLOOKUP(External!E6,'Distance matrix'!$B$1:$C$310,2,FALSE)&lt;36,150,16*VLOOKUP(External!E6,'Distance matrix'!$B$1:$C$310,2,FALSE)),0)</f>
        <v>0</v>
      </c>
      <c r="N6" s="13" t="e">
        <f t="shared" si="0"/>
        <v>#N/A</v>
      </c>
      <c r="O6" s="61" t="e" cm="1">
        <f t="array" ref="O6">[1]!SPELLNUMBER(N6)</f>
        <v>#VALUE!</v>
      </c>
      <c r="P6" s="3"/>
    </row>
    <row r="7" spans="1:16" s="1" customFormat="1" ht="21" customHeight="1" x14ac:dyDescent="0.25">
      <c r="A7" s="13" t="s">
        <v>53</v>
      </c>
      <c r="B7" s="13" t="s">
        <v>112</v>
      </c>
      <c r="C7" s="13">
        <f>'Paste here'!O7</f>
        <v>0</v>
      </c>
      <c r="D7" s="13">
        <f>'Paste here'!P7</f>
        <v>0</v>
      </c>
      <c r="E7" s="1">
        <f>'Paste here'!T7</f>
        <v>0</v>
      </c>
      <c r="F7" s="13">
        <f>'Paste here'!E7</f>
        <v>0</v>
      </c>
      <c r="G7" s="13">
        <f>'Paste here'!F7</f>
        <v>0</v>
      </c>
      <c r="H7" s="13">
        <f>'Paste here'!G7</f>
        <v>0</v>
      </c>
      <c r="I7" s="13">
        <f>'Paste here'!L7</f>
        <v>0</v>
      </c>
      <c r="J7" s="13">
        <f>'Paste here'!N7</f>
        <v>0</v>
      </c>
      <c r="K7" s="64" t="e">
        <f>IF(J7*VLOOKUP(H7,'Claim Amount'!$B$3:$J$24,2,FALSE)&lt;VLOOKUP(H7,'Claim Amount'!$B$3:$J$24,3,FALSE),VLOOKUP(H7,'Claim Amount'!$B$3:$J$24,3,FALSE),J7*VLOOKUP(H7,'Claim Amount'!$B$3:$J$24,2,FALSE))</f>
        <v>#N/A</v>
      </c>
      <c r="L7" s="13">
        <f>IF(I7="Regular Lab",VLOOKUP(F7,'Claim Amount'!$B$3:$J$13,2,FALSE),0)</f>
        <v>0</v>
      </c>
      <c r="M7" s="13">
        <f>IF(I7="Regular Lab",IF(VLOOKUP(External!E7,'Distance matrix'!$B$1:$C$310,2,FALSE)&lt;36,150,16*VLOOKUP(External!E7,'Distance matrix'!$B$1:$C$310,2,FALSE)),0)</f>
        <v>0</v>
      </c>
      <c r="N7" s="13" t="e">
        <f t="shared" si="0"/>
        <v>#N/A</v>
      </c>
      <c r="O7" s="61" t="e" cm="1">
        <f t="array" ref="O7">[1]!SPELLNUMBER(N7)</f>
        <v>#VALUE!</v>
      </c>
      <c r="P7" s="3"/>
    </row>
    <row r="8" spans="1:16" s="1" customFormat="1" ht="21" customHeight="1" x14ac:dyDescent="0.25">
      <c r="A8" s="13" t="s">
        <v>54</v>
      </c>
      <c r="B8" s="13" t="s">
        <v>112</v>
      </c>
      <c r="C8" s="13">
        <f>'Paste here'!O8</f>
        <v>0</v>
      </c>
      <c r="D8" s="13">
        <f>'Paste here'!P8</f>
        <v>0</v>
      </c>
      <c r="E8" s="1">
        <f>'Paste here'!T8</f>
        <v>0</v>
      </c>
      <c r="F8" s="13">
        <f>'Paste here'!E8</f>
        <v>0</v>
      </c>
      <c r="G8" s="13">
        <f>'Paste here'!F8</f>
        <v>0</v>
      </c>
      <c r="H8" s="13">
        <f>'Paste here'!G8</f>
        <v>0</v>
      </c>
      <c r="I8" s="13">
        <f>'Paste here'!L8</f>
        <v>0</v>
      </c>
      <c r="J8" s="13">
        <f>'Paste here'!N8</f>
        <v>0</v>
      </c>
      <c r="K8" s="64" t="e">
        <f>IF(J8*VLOOKUP(H8,'Claim Amount'!$B$3:$J$24,2,FALSE)&lt;VLOOKUP(H8,'Claim Amount'!$B$3:$J$24,3,FALSE),VLOOKUP(H8,'Claim Amount'!$B$3:$J$24,3,FALSE),J8*VLOOKUP(H8,'Claim Amount'!$B$3:$J$24,2,FALSE))</f>
        <v>#N/A</v>
      </c>
      <c r="L8" s="13">
        <f>IF(I8="Regular Lab",VLOOKUP(F8,'Claim Amount'!$B$3:$J$13,2,FALSE),0)</f>
        <v>0</v>
      </c>
      <c r="M8" s="13">
        <f>IF(I8="Regular Lab",IF(VLOOKUP(External!E8,'Distance matrix'!$B$1:$C$310,2,FALSE)&lt;36,150,16*VLOOKUP(External!E8,'Distance matrix'!$B$1:$C$310,2,FALSE)),0)</f>
        <v>0</v>
      </c>
      <c r="N8" s="13" t="e">
        <f t="shared" si="0"/>
        <v>#N/A</v>
      </c>
      <c r="O8" s="61" t="e" cm="1">
        <f t="array" ref="O8">[1]!SPELLNUMBER(N8)</f>
        <v>#VALUE!</v>
      </c>
      <c r="P8" s="3"/>
    </row>
    <row r="9" spans="1:16" s="1" customFormat="1" ht="21" customHeight="1" x14ac:dyDescent="0.25">
      <c r="A9" s="13" t="s">
        <v>55</v>
      </c>
      <c r="B9" s="13" t="s">
        <v>112</v>
      </c>
      <c r="C9" s="13">
        <f>'Paste here'!O9</f>
        <v>0</v>
      </c>
      <c r="D9" s="13">
        <f>'Paste here'!P9</f>
        <v>0</v>
      </c>
      <c r="E9" s="1">
        <f>'Paste here'!T9</f>
        <v>0</v>
      </c>
      <c r="F9" s="13">
        <f>'Paste here'!E9</f>
        <v>0</v>
      </c>
      <c r="G9" s="13">
        <f>'Paste here'!F9</f>
        <v>0</v>
      </c>
      <c r="H9" s="13">
        <f>'Paste here'!G9</f>
        <v>0</v>
      </c>
      <c r="I9" s="13">
        <f>'Paste here'!L9</f>
        <v>0</v>
      </c>
      <c r="J9" s="13">
        <f>'Paste here'!N9</f>
        <v>0</v>
      </c>
      <c r="K9" s="64" t="e">
        <f>IF(J9*VLOOKUP(H9,'Claim Amount'!$B$3:$J$24,2,FALSE)&lt;VLOOKUP(H9,'Claim Amount'!$B$3:$J$24,3,FALSE),VLOOKUP(H9,'Claim Amount'!$B$3:$J$24,3,FALSE),J9*VLOOKUP(H9,'Claim Amount'!$B$3:$J$24,2,FALSE))</f>
        <v>#N/A</v>
      </c>
      <c r="L9" s="13">
        <f>IF(I9="Regular Lab",VLOOKUP(F9,'Claim Amount'!$B$3:$J$13,2,FALSE),0)</f>
        <v>0</v>
      </c>
      <c r="M9" s="13">
        <f>IF(I9="Regular Lab",IF(VLOOKUP(External!E9,'Distance matrix'!$B$1:$C$310,2,FALSE)&lt;36,150,16*VLOOKUP(External!E9,'Distance matrix'!$B$1:$C$310,2,FALSE)),0)</f>
        <v>0</v>
      </c>
      <c r="N9" s="13" t="e">
        <f t="shared" si="0"/>
        <v>#N/A</v>
      </c>
      <c r="O9" s="61" t="e" cm="1">
        <f t="array" ref="O9">[1]!SPELLNUMBER(N9)</f>
        <v>#VALUE!</v>
      </c>
      <c r="P9" s="3"/>
    </row>
    <row r="10" spans="1:16" s="1" customFormat="1" ht="21" customHeight="1" x14ac:dyDescent="0.25">
      <c r="A10" s="13" t="s">
        <v>56</v>
      </c>
      <c r="B10" s="13" t="s">
        <v>112</v>
      </c>
      <c r="C10" s="13">
        <f>'Paste here'!O10</f>
        <v>0</v>
      </c>
      <c r="D10" s="13">
        <f>'Paste here'!P10</f>
        <v>0</v>
      </c>
      <c r="E10" s="1">
        <f>'Paste here'!T10</f>
        <v>0</v>
      </c>
      <c r="F10" s="13">
        <f>'Paste here'!E10</f>
        <v>0</v>
      </c>
      <c r="G10" s="13">
        <f>'Paste here'!F10</f>
        <v>0</v>
      </c>
      <c r="H10" s="13">
        <f>'Paste here'!G10</f>
        <v>0</v>
      </c>
      <c r="I10" s="13">
        <f>'Paste here'!L10</f>
        <v>0</v>
      </c>
      <c r="J10" s="13">
        <f>'Paste here'!N10</f>
        <v>0</v>
      </c>
      <c r="K10" s="64" t="e">
        <f>IF(J10*VLOOKUP(H10,'Claim Amount'!$B$3:$J$24,2,FALSE)&lt;VLOOKUP(H10,'Claim Amount'!$B$3:$J$24,3,FALSE),VLOOKUP(H10,'Claim Amount'!$B$3:$J$24,3,FALSE),J10*VLOOKUP(H10,'Claim Amount'!$B$3:$J$24,2,FALSE))</f>
        <v>#N/A</v>
      </c>
      <c r="L10" s="13">
        <f>IF(I10="Regular Lab",VLOOKUP(F10,'Claim Amount'!$B$3:$J$13,2,FALSE),0)</f>
        <v>0</v>
      </c>
      <c r="M10" s="13">
        <f>IF(I10="Regular Lab",IF(VLOOKUP(External!E10,'Distance matrix'!$B$1:$C$310,2,FALSE)&lt;36,150,16*VLOOKUP(External!E10,'Distance matrix'!$B$1:$C$310,2,FALSE)),0)</f>
        <v>0</v>
      </c>
      <c r="N10" s="13" t="e">
        <f t="shared" si="0"/>
        <v>#N/A</v>
      </c>
      <c r="O10" s="61" t="e" cm="1">
        <f t="array" ref="O10">[1]!SPELLNUMBER(N10)</f>
        <v>#VALUE!</v>
      </c>
      <c r="P10" s="3"/>
    </row>
    <row r="11" spans="1:16" s="1" customFormat="1" ht="21" customHeight="1" x14ac:dyDescent="0.25">
      <c r="A11" s="13" t="s">
        <v>57</v>
      </c>
      <c r="B11" s="13" t="s">
        <v>112</v>
      </c>
      <c r="C11" s="13">
        <f>'Paste here'!O11</f>
        <v>0</v>
      </c>
      <c r="D11" s="13">
        <f>'Paste here'!P11</f>
        <v>0</v>
      </c>
      <c r="E11" s="1">
        <f>'Paste here'!T11</f>
        <v>0</v>
      </c>
      <c r="F11" s="13">
        <f>'Paste here'!E11</f>
        <v>0</v>
      </c>
      <c r="G11" s="13">
        <f>'Paste here'!F11</f>
        <v>0</v>
      </c>
      <c r="H11" s="13">
        <f>'Paste here'!G11</f>
        <v>0</v>
      </c>
      <c r="I11" s="13">
        <f>'Paste here'!L11</f>
        <v>0</v>
      </c>
      <c r="J11" s="13">
        <f>'Paste here'!N11</f>
        <v>0</v>
      </c>
      <c r="K11" s="64" t="e">
        <f>IF(J11*VLOOKUP(H11,'Claim Amount'!$B$3:$J$24,2,FALSE)&lt;VLOOKUP(H11,'Claim Amount'!$B$3:$J$24,3,FALSE),VLOOKUP(H11,'Claim Amount'!$B$3:$J$24,3,FALSE),J11*VLOOKUP(H11,'Claim Amount'!$B$3:$J$24,2,FALSE))</f>
        <v>#N/A</v>
      </c>
      <c r="L11" s="13">
        <f>IF(I11="Regular Lab",VLOOKUP(F11,'Claim Amount'!$B$3:$J$13,2,FALSE),0)</f>
        <v>0</v>
      </c>
      <c r="M11" s="13">
        <f>IF(I11="Regular Lab",IF(VLOOKUP(External!E11,'Distance matrix'!$B$1:$C$310,2,FALSE)&lt;36,150,16*VLOOKUP(External!E11,'Distance matrix'!$B$1:$C$310,2,FALSE)),0)</f>
        <v>0</v>
      </c>
      <c r="N11" s="13" t="e">
        <f t="shared" si="0"/>
        <v>#N/A</v>
      </c>
      <c r="O11" s="61" t="e" cm="1">
        <f t="array" ref="O11">[1]!SPELLNUMBER(N11)</f>
        <v>#VALUE!</v>
      </c>
      <c r="P11" s="3"/>
    </row>
    <row r="12" spans="1:16" s="1" customFormat="1" ht="21" customHeight="1" x14ac:dyDescent="0.25">
      <c r="A12" s="13" t="s">
        <v>58</v>
      </c>
      <c r="B12" s="13" t="s">
        <v>112</v>
      </c>
      <c r="C12" s="13">
        <f>'Paste here'!O12</f>
        <v>0</v>
      </c>
      <c r="D12" s="13">
        <f>'Paste here'!P12</f>
        <v>0</v>
      </c>
      <c r="E12" s="1">
        <f>'Paste here'!T12</f>
        <v>0</v>
      </c>
      <c r="F12" s="13">
        <f>'Paste here'!E12</f>
        <v>0</v>
      </c>
      <c r="G12" s="13">
        <f>'Paste here'!F12</f>
        <v>0</v>
      </c>
      <c r="H12" s="13">
        <f>'Paste here'!G12</f>
        <v>0</v>
      </c>
      <c r="I12" s="13">
        <f>'Paste here'!L12</f>
        <v>0</v>
      </c>
      <c r="J12" s="13">
        <f>'Paste here'!N12</f>
        <v>0</v>
      </c>
      <c r="K12" s="64" t="e">
        <f>IF(J12*VLOOKUP(H12,'Claim Amount'!$B$3:$J$24,2,FALSE)&lt;VLOOKUP(H12,'Claim Amount'!$B$3:$J$24,3,FALSE),VLOOKUP(H12,'Claim Amount'!$B$3:$J$24,3,FALSE),J12*VLOOKUP(H12,'Claim Amount'!$B$3:$J$24,2,FALSE))</f>
        <v>#N/A</v>
      </c>
      <c r="L12" s="13">
        <f>IF(I12="Regular Lab",VLOOKUP(F12,'Claim Amount'!$B$3:$J$13,2,FALSE),0)</f>
        <v>0</v>
      </c>
      <c r="M12" s="13">
        <f>IF(I12="Regular Lab",IF(VLOOKUP(External!E12,'Distance matrix'!$B$1:$C$310,2,FALSE)&lt;36,150,16*VLOOKUP(External!E12,'Distance matrix'!$B$1:$C$310,2,FALSE)),0)</f>
        <v>0</v>
      </c>
      <c r="N12" s="13" t="e">
        <f t="shared" si="0"/>
        <v>#N/A</v>
      </c>
      <c r="O12" s="61" t="e" cm="1">
        <f t="array" ref="O12">[1]!SPELLNUMBER(N12)</f>
        <v>#VALUE!</v>
      </c>
      <c r="P12" s="3"/>
    </row>
    <row r="13" spans="1:16" s="1" customFormat="1" ht="21" customHeight="1" x14ac:dyDescent="0.25">
      <c r="A13" s="13" t="s">
        <v>59</v>
      </c>
      <c r="B13" s="13" t="s">
        <v>112</v>
      </c>
      <c r="C13" s="13">
        <f>'Paste here'!O13</f>
        <v>0</v>
      </c>
      <c r="D13" s="13">
        <f>'Paste here'!P13</f>
        <v>0</v>
      </c>
      <c r="E13" s="1">
        <f>'Paste here'!T13</f>
        <v>0</v>
      </c>
      <c r="F13" s="13">
        <f>'Paste here'!E13</f>
        <v>0</v>
      </c>
      <c r="G13" s="13">
        <f>'Paste here'!F13</f>
        <v>0</v>
      </c>
      <c r="H13" s="13">
        <f>'Paste here'!G13</f>
        <v>0</v>
      </c>
      <c r="I13" s="13">
        <f>'Paste here'!L13</f>
        <v>0</v>
      </c>
      <c r="J13" s="13">
        <f>'Paste here'!N13</f>
        <v>0</v>
      </c>
      <c r="K13" s="64" t="e">
        <f>IF(J13*VLOOKUP(H13,'Claim Amount'!$B$3:$J$24,2,FALSE)&lt;VLOOKUP(H13,'Claim Amount'!$B$3:$J$24,3,FALSE),VLOOKUP(H13,'Claim Amount'!$B$3:$J$24,3,FALSE),J13*VLOOKUP(H13,'Claim Amount'!$B$3:$J$24,2,FALSE))</f>
        <v>#N/A</v>
      </c>
      <c r="L13" s="13">
        <f>IF(I13="Regular Lab",VLOOKUP(F13,'Claim Amount'!$B$3:$J$13,2,FALSE),0)</f>
        <v>0</v>
      </c>
      <c r="M13" s="13">
        <f>IF(I13="Regular Lab",IF(VLOOKUP(External!E13,'Distance matrix'!$B$1:$C$310,2,FALSE)&lt;36,150,16*VLOOKUP(External!E13,'Distance matrix'!$B$1:$C$310,2,FALSE)),0)</f>
        <v>0</v>
      </c>
      <c r="N13" s="13" t="e">
        <f t="shared" si="0"/>
        <v>#N/A</v>
      </c>
      <c r="O13" s="61" t="e" cm="1">
        <f t="array" ref="O13">[1]!SPELLNUMBER(N13)</f>
        <v>#VALUE!</v>
      </c>
    </row>
    <row r="14" spans="1:16" s="1" customFormat="1" ht="21" customHeight="1" x14ac:dyDescent="0.25">
      <c r="A14" s="13" t="s">
        <v>60</v>
      </c>
      <c r="B14" s="13" t="s">
        <v>112</v>
      </c>
      <c r="C14" s="13">
        <f>'Paste here'!O14</f>
        <v>0</v>
      </c>
      <c r="D14" s="13">
        <f>'Paste here'!P14</f>
        <v>0</v>
      </c>
      <c r="E14" s="1">
        <f>'Paste here'!T14</f>
        <v>0</v>
      </c>
      <c r="F14" s="13">
        <f>'Paste here'!E14</f>
        <v>0</v>
      </c>
      <c r="G14" s="13">
        <f>'Paste here'!F14</f>
        <v>0</v>
      </c>
      <c r="H14" s="13">
        <f>'Paste here'!G14</f>
        <v>0</v>
      </c>
      <c r="I14" s="13">
        <f>'Paste here'!L14</f>
        <v>0</v>
      </c>
      <c r="J14" s="13">
        <f>'Paste here'!N14</f>
        <v>0</v>
      </c>
      <c r="K14" s="64" t="e">
        <f>IF(J14*VLOOKUP(H14,'Claim Amount'!$B$3:$J$24,2,FALSE)&lt;VLOOKUP(H14,'Claim Amount'!$B$3:$J$24,3,FALSE),VLOOKUP(H14,'Claim Amount'!$B$3:$J$24,3,FALSE),J14*VLOOKUP(H14,'Claim Amount'!$B$3:$J$24,2,FALSE))</f>
        <v>#N/A</v>
      </c>
      <c r="L14" s="13">
        <f>IF(I14="Regular Lab",VLOOKUP(F14,'Claim Amount'!$B$3:$J$13,2,FALSE),0)</f>
        <v>0</v>
      </c>
      <c r="M14" s="13">
        <f>IF(I14="Regular Lab",IF(VLOOKUP(External!E14,'Distance matrix'!$B$1:$C$310,2,FALSE)&lt;36,150,16*VLOOKUP(External!E14,'Distance matrix'!$B$1:$C$310,2,FALSE)),0)</f>
        <v>0</v>
      </c>
      <c r="N14" s="13" t="e">
        <f t="shared" si="0"/>
        <v>#N/A</v>
      </c>
      <c r="O14" s="61" t="e" cm="1">
        <f t="array" ref="O14">[1]!SPELLNUMBER(N14)</f>
        <v>#VALUE!</v>
      </c>
    </row>
    <row r="15" spans="1:16" s="1" customFormat="1" ht="21" customHeight="1" x14ac:dyDescent="0.25">
      <c r="A15" s="13" t="s">
        <v>61</v>
      </c>
      <c r="B15" s="13" t="s">
        <v>112</v>
      </c>
      <c r="C15" s="13">
        <f>'Paste here'!O15</f>
        <v>0</v>
      </c>
      <c r="D15" s="13">
        <f>'Paste here'!P15</f>
        <v>0</v>
      </c>
      <c r="E15" s="1">
        <f>'Paste here'!T15</f>
        <v>0</v>
      </c>
      <c r="F15" s="13">
        <f>'Paste here'!E15</f>
        <v>0</v>
      </c>
      <c r="G15" s="13">
        <f>'Paste here'!F15</f>
        <v>0</v>
      </c>
      <c r="H15" s="13">
        <f>'Paste here'!G15</f>
        <v>0</v>
      </c>
      <c r="I15" s="13">
        <f>'Paste here'!L15</f>
        <v>0</v>
      </c>
      <c r="J15" s="13">
        <f>'Paste here'!N15</f>
        <v>0</v>
      </c>
      <c r="K15" s="64" t="e">
        <f>IF(J15*VLOOKUP(H15,'Claim Amount'!$B$3:$J$24,2,FALSE)&lt;VLOOKUP(H15,'Claim Amount'!$B$3:$J$24,3,FALSE),VLOOKUP(H15,'Claim Amount'!$B$3:$J$24,3,FALSE),J15*VLOOKUP(H15,'Claim Amount'!$B$3:$J$24,2,FALSE))</f>
        <v>#N/A</v>
      </c>
      <c r="L15" s="13">
        <f>IF(I15="Regular Lab",VLOOKUP(F15,'Claim Amount'!$B$3:$J$13,2,FALSE),0)</f>
        <v>0</v>
      </c>
      <c r="M15" s="13">
        <f>IF(I15="Regular Lab",IF(VLOOKUP(External!E15,'Distance matrix'!$B$1:$C$310,2,FALSE)&lt;36,150,16*VLOOKUP(External!E15,'Distance matrix'!$B$1:$C$310,2,FALSE)),0)</f>
        <v>0</v>
      </c>
      <c r="N15" s="13" t="e">
        <f t="shared" si="0"/>
        <v>#N/A</v>
      </c>
      <c r="O15" s="61" t="e" cm="1">
        <f t="array" ref="O15">[1]!SPELLNUMBER(N15)</f>
        <v>#VALUE!</v>
      </c>
    </row>
    <row r="16" spans="1:16" s="1" customFormat="1" ht="21" customHeight="1" x14ac:dyDescent="0.25">
      <c r="A16" s="13" t="s">
        <v>62</v>
      </c>
      <c r="B16" s="13" t="s">
        <v>112</v>
      </c>
      <c r="C16" s="13">
        <f>'Paste here'!O16</f>
        <v>0</v>
      </c>
      <c r="D16" s="13">
        <f>'Paste here'!P16</f>
        <v>0</v>
      </c>
      <c r="E16" s="1">
        <f>'Paste here'!T16</f>
        <v>0</v>
      </c>
      <c r="F16" s="13">
        <f>'Paste here'!E16</f>
        <v>0</v>
      </c>
      <c r="G16" s="13">
        <f>'Paste here'!F16</f>
        <v>0</v>
      </c>
      <c r="H16" s="13">
        <f>'Paste here'!G16</f>
        <v>0</v>
      </c>
      <c r="I16" s="13">
        <f>'Paste here'!L16</f>
        <v>0</v>
      </c>
      <c r="J16" s="13">
        <f>'Paste here'!N16</f>
        <v>0</v>
      </c>
      <c r="K16" s="64" t="e">
        <f>IF(J16*VLOOKUP(H16,'Claim Amount'!$B$3:$J$24,2,FALSE)&lt;VLOOKUP(H16,'Claim Amount'!$B$3:$J$24,3,FALSE),VLOOKUP(H16,'Claim Amount'!$B$3:$J$24,3,FALSE),J16*VLOOKUP(H16,'Claim Amount'!$B$3:$J$24,2,FALSE))</f>
        <v>#N/A</v>
      </c>
      <c r="L16" s="13">
        <f>IF(I16="Regular Lab",VLOOKUP(F16,'Claim Amount'!$B$3:$J$13,2,FALSE),0)</f>
        <v>0</v>
      </c>
      <c r="M16" s="13">
        <f>IF(I16="Regular Lab",IF(VLOOKUP(External!E16,'Distance matrix'!$B$1:$C$310,2,FALSE)&lt;36,150,16*VLOOKUP(External!E16,'Distance matrix'!$B$1:$C$310,2,FALSE)),0)</f>
        <v>0</v>
      </c>
      <c r="N16" s="13" t="e">
        <f t="shared" si="0"/>
        <v>#N/A</v>
      </c>
      <c r="O16" s="61" t="e" cm="1">
        <f t="array" ref="O16">[1]!SPELLNUMBER(N16)</f>
        <v>#VALUE!</v>
      </c>
    </row>
    <row r="17" spans="1:15" s="1" customFormat="1" ht="21" customHeight="1" x14ac:dyDescent="0.25">
      <c r="A17" s="13" t="s">
        <v>63</v>
      </c>
      <c r="B17" s="13" t="s">
        <v>112</v>
      </c>
      <c r="C17" s="13">
        <f>'Paste here'!O17</f>
        <v>0</v>
      </c>
      <c r="D17" s="13">
        <f>'Paste here'!P17</f>
        <v>0</v>
      </c>
      <c r="E17" s="1">
        <f>'Paste here'!T17</f>
        <v>0</v>
      </c>
      <c r="F17" s="13">
        <f>'Paste here'!E17</f>
        <v>0</v>
      </c>
      <c r="G17" s="13">
        <f>'Paste here'!F17</f>
        <v>0</v>
      </c>
      <c r="H17" s="13">
        <f>'Paste here'!G17</f>
        <v>0</v>
      </c>
      <c r="I17" s="13">
        <f>'Paste here'!L17</f>
        <v>0</v>
      </c>
      <c r="J17" s="13">
        <f>'Paste here'!N17</f>
        <v>0</v>
      </c>
      <c r="K17" s="64" t="e">
        <f>IF(J17*VLOOKUP(H17,'Claim Amount'!$B$3:$J$24,2,FALSE)&lt;VLOOKUP(H17,'Claim Amount'!$B$3:$J$24,3,FALSE),VLOOKUP(H17,'Claim Amount'!$B$3:$J$24,3,FALSE),J17*VLOOKUP(H17,'Claim Amount'!$B$3:$J$24,2,FALSE))</f>
        <v>#N/A</v>
      </c>
      <c r="L17" s="13">
        <f>IF(I17="Regular Lab",VLOOKUP(F17,'Claim Amount'!$B$3:$J$13,2,FALSE),0)</f>
        <v>0</v>
      </c>
      <c r="M17" s="13">
        <f>IF(I17="Regular Lab",IF(VLOOKUP(External!E17,'Distance matrix'!$B$1:$C$310,2,FALSE)&lt;36,150,16*VLOOKUP(External!E17,'Distance matrix'!$B$1:$C$310,2,FALSE)),0)</f>
        <v>0</v>
      </c>
      <c r="N17" s="13" t="e">
        <f t="shared" si="0"/>
        <v>#N/A</v>
      </c>
      <c r="O17" s="61" t="e" cm="1">
        <f t="array" ref="O17">[1]!SPELLNUMBER(N17)</f>
        <v>#VALUE!</v>
      </c>
    </row>
    <row r="18" spans="1:15" s="1" customFormat="1" ht="21" customHeight="1" x14ac:dyDescent="0.25">
      <c r="A18" s="13" t="s">
        <v>64</v>
      </c>
      <c r="B18" s="13" t="s">
        <v>112</v>
      </c>
      <c r="C18" s="13">
        <f>'Paste here'!O18</f>
        <v>0</v>
      </c>
      <c r="D18" s="13">
        <f>'Paste here'!P18</f>
        <v>0</v>
      </c>
      <c r="E18" s="1">
        <f>'Paste here'!T18</f>
        <v>0</v>
      </c>
      <c r="F18" s="13">
        <f>'Paste here'!E18</f>
        <v>0</v>
      </c>
      <c r="G18" s="13">
        <f>'Paste here'!F18</f>
        <v>0</v>
      </c>
      <c r="H18" s="13">
        <f>'Paste here'!G18</f>
        <v>0</v>
      </c>
      <c r="I18" s="13">
        <f>'Paste here'!L18</f>
        <v>0</v>
      </c>
      <c r="J18" s="13">
        <f>'Paste here'!N18</f>
        <v>0</v>
      </c>
      <c r="K18" s="64" t="e">
        <f>IF(J18*VLOOKUP(H18,'Claim Amount'!$B$3:$J$24,2,FALSE)&lt;VLOOKUP(H18,'Claim Amount'!$B$3:$J$24,3,FALSE),VLOOKUP(H18,'Claim Amount'!$B$3:$J$24,3,FALSE),J18*VLOOKUP(H18,'Claim Amount'!$B$3:$J$24,2,FALSE))</f>
        <v>#N/A</v>
      </c>
      <c r="L18" s="13">
        <f>IF(I18="Regular Lab",VLOOKUP(F18,'Claim Amount'!$B$3:$J$13,2,FALSE),0)</f>
        <v>0</v>
      </c>
      <c r="M18" s="13">
        <f>IF(I18="Regular Lab",IF(VLOOKUP(External!E18,'Distance matrix'!$B$1:$C$310,2,FALSE)&lt;36,150,16*VLOOKUP(External!E18,'Distance matrix'!$B$1:$C$310,2,FALSE)),0)</f>
        <v>0</v>
      </c>
      <c r="N18" s="13" t="e">
        <f t="shared" si="0"/>
        <v>#N/A</v>
      </c>
      <c r="O18" s="61" t="e" cm="1">
        <f t="array" ref="O18">[1]!SPELLNUMBER(N18)</f>
        <v>#VALUE!</v>
      </c>
    </row>
    <row r="19" spans="1:15" s="1" customFormat="1" ht="21" customHeight="1" x14ac:dyDescent="0.25">
      <c r="A19" s="13" t="s">
        <v>65</v>
      </c>
      <c r="B19" s="13" t="s">
        <v>112</v>
      </c>
      <c r="C19" s="13">
        <f>'Paste here'!O19</f>
        <v>0</v>
      </c>
      <c r="D19" s="13">
        <f>'Paste here'!P19</f>
        <v>0</v>
      </c>
      <c r="E19" s="1">
        <f>'Paste here'!T19</f>
        <v>0</v>
      </c>
      <c r="F19" s="13">
        <f>'Paste here'!E19</f>
        <v>0</v>
      </c>
      <c r="G19" s="13">
        <f>'Paste here'!F19</f>
        <v>0</v>
      </c>
      <c r="H19" s="13">
        <f>'Paste here'!G19</f>
        <v>0</v>
      </c>
      <c r="I19" s="13">
        <f>'Paste here'!L19</f>
        <v>0</v>
      </c>
      <c r="J19" s="13">
        <f>'Paste here'!N19</f>
        <v>0</v>
      </c>
      <c r="K19" s="64" t="e">
        <f>IF(J19*VLOOKUP(H19,'Claim Amount'!$B$3:$J$24,2,FALSE)&lt;VLOOKUP(H19,'Claim Amount'!$B$3:$J$24,3,FALSE),VLOOKUP(H19,'Claim Amount'!$B$3:$J$24,3,FALSE),J19*VLOOKUP(H19,'Claim Amount'!$B$3:$J$24,2,FALSE))</f>
        <v>#N/A</v>
      </c>
      <c r="L19" s="13">
        <f>IF(I19="Regular Lab",VLOOKUP(F19,'Claim Amount'!$B$3:$J$13,2,FALSE),0)</f>
        <v>0</v>
      </c>
      <c r="M19" s="13">
        <f>IF(I19="Regular Lab",IF(VLOOKUP(External!E19,'Distance matrix'!$B$1:$C$310,2,FALSE)&lt;36,150,16*VLOOKUP(External!E19,'Distance matrix'!$B$1:$C$310,2,FALSE)),0)</f>
        <v>0</v>
      </c>
      <c r="N19" s="13" t="e">
        <f t="shared" si="0"/>
        <v>#N/A</v>
      </c>
      <c r="O19" s="61" t="e" cm="1">
        <f t="array" ref="O19">[1]!SPELLNUMBER(N19)</f>
        <v>#VALUE!</v>
      </c>
    </row>
    <row r="20" spans="1:15" s="1" customFormat="1" ht="21" customHeight="1" x14ac:dyDescent="0.25">
      <c r="A20" s="13" t="s">
        <v>66</v>
      </c>
      <c r="B20" s="13" t="s">
        <v>112</v>
      </c>
      <c r="C20" s="13">
        <f>'Paste here'!O20</f>
        <v>0</v>
      </c>
      <c r="D20" s="13">
        <f>'Paste here'!P20</f>
        <v>0</v>
      </c>
      <c r="E20" s="1">
        <f>'Paste here'!T20</f>
        <v>0</v>
      </c>
      <c r="F20" s="13">
        <f>'Paste here'!E20</f>
        <v>0</v>
      </c>
      <c r="G20" s="13">
        <f>'Paste here'!F20</f>
        <v>0</v>
      </c>
      <c r="H20" s="13">
        <f>'Paste here'!G20</f>
        <v>0</v>
      </c>
      <c r="I20" s="13">
        <f>'Paste here'!L20</f>
        <v>0</v>
      </c>
      <c r="J20" s="13">
        <f>'Paste here'!N20</f>
        <v>0</v>
      </c>
      <c r="K20" s="64" t="e">
        <f>IF(J20*VLOOKUP(H20,'Claim Amount'!$B$3:$J$24,2,FALSE)&lt;VLOOKUP(H20,'Claim Amount'!$B$3:$J$24,3,FALSE),VLOOKUP(H20,'Claim Amount'!$B$3:$J$24,3,FALSE),J20*VLOOKUP(H20,'Claim Amount'!$B$3:$J$24,2,FALSE))</f>
        <v>#N/A</v>
      </c>
      <c r="L20" s="13">
        <f>IF(I20="Regular Lab",VLOOKUP(F20,'Claim Amount'!$B$3:$J$13,2,FALSE),0)</f>
        <v>0</v>
      </c>
      <c r="M20" s="13">
        <f>IF(I20="Regular Lab",IF(VLOOKUP(External!E20,'Distance matrix'!$B$1:$C$310,2,FALSE)&lt;36,150,16*VLOOKUP(External!E20,'Distance matrix'!$B$1:$C$310,2,FALSE)),0)</f>
        <v>0</v>
      </c>
      <c r="N20" s="13" t="e">
        <f t="shared" si="0"/>
        <v>#N/A</v>
      </c>
      <c r="O20" s="61" t="e" cm="1">
        <f t="array" ref="O20">[1]!SPELLNUMBER(N20)</f>
        <v>#VALUE!</v>
      </c>
    </row>
    <row r="21" spans="1:15" s="1" customFormat="1" ht="21" customHeight="1" x14ac:dyDescent="0.25">
      <c r="A21" s="13" t="s">
        <v>67</v>
      </c>
      <c r="B21" s="13" t="s">
        <v>112</v>
      </c>
      <c r="C21" s="13">
        <f>'Paste here'!O21</f>
        <v>0</v>
      </c>
      <c r="D21" s="13">
        <f>'Paste here'!P21</f>
        <v>0</v>
      </c>
      <c r="E21" s="1">
        <f>'Paste here'!T21</f>
        <v>0</v>
      </c>
      <c r="F21" s="13">
        <f>'Paste here'!E21</f>
        <v>0</v>
      </c>
      <c r="G21" s="13">
        <f>'Paste here'!F21</f>
        <v>0</v>
      </c>
      <c r="H21" s="13">
        <f>'Paste here'!G21</f>
        <v>0</v>
      </c>
      <c r="I21" s="13">
        <f>'Paste here'!L21</f>
        <v>0</v>
      </c>
      <c r="J21" s="13">
        <f>'Paste here'!N21</f>
        <v>0</v>
      </c>
      <c r="K21" s="64" t="e">
        <f>IF(J21*VLOOKUP(H21,'Claim Amount'!$B$3:$J$24,2,FALSE)&lt;VLOOKUP(H21,'Claim Amount'!$B$3:$J$24,3,FALSE),VLOOKUP(H21,'Claim Amount'!$B$3:$J$24,3,FALSE),J21*VLOOKUP(H21,'Claim Amount'!$B$3:$J$24,2,FALSE))</f>
        <v>#N/A</v>
      </c>
      <c r="L21" s="13">
        <f>IF(I21="Regular Lab",VLOOKUP(F21,'Claim Amount'!$B$3:$J$13,2,FALSE),0)</f>
        <v>0</v>
      </c>
      <c r="M21" s="13">
        <f>IF(I21="Regular Lab",IF(VLOOKUP(External!E21,'Distance matrix'!$B$1:$C$310,2,FALSE)&lt;36,150,16*VLOOKUP(External!E21,'Distance matrix'!$B$1:$C$310,2,FALSE)),0)</f>
        <v>0</v>
      </c>
      <c r="N21" s="13" t="e">
        <f t="shared" si="0"/>
        <v>#N/A</v>
      </c>
      <c r="O21" s="61" t="e" cm="1">
        <f t="array" ref="O21">[1]!SPELLNUMBER(N21)</f>
        <v>#VALUE!</v>
      </c>
    </row>
    <row r="22" spans="1:15" s="1" customFormat="1" ht="21" customHeight="1" x14ac:dyDescent="0.25">
      <c r="A22" s="13" t="s">
        <v>68</v>
      </c>
      <c r="B22" s="13" t="s">
        <v>112</v>
      </c>
      <c r="C22" s="13">
        <f>'Paste here'!O22</f>
        <v>0</v>
      </c>
      <c r="D22" s="13">
        <f>'Paste here'!P22</f>
        <v>0</v>
      </c>
      <c r="E22" s="1">
        <f>'Paste here'!T22</f>
        <v>0</v>
      </c>
      <c r="F22" s="13">
        <f>'Paste here'!E22</f>
        <v>0</v>
      </c>
      <c r="G22" s="13">
        <f>'Paste here'!F22</f>
        <v>0</v>
      </c>
      <c r="H22" s="13">
        <f>'Paste here'!G22</f>
        <v>0</v>
      </c>
      <c r="I22" s="13">
        <f>'Paste here'!L22</f>
        <v>0</v>
      </c>
      <c r="J22" s="13">
        <f>'Paste here'!N22</f>
        <v>0</v>
      </c>
      <c r="K22" s="64" t="e">
        <f>IF(J22*VLOOKUP(H22,'Claim Amount'!$B$3:$J$24,2,FALSE)&lt;VLOOKUP(H22,'Claim Amount'!$B$3:$J$24,3,FALSE),VLOOKUP(H22,'Claim Amount'!$B$3:$J$24,3,FALSE),J22*VLOOKUP(H22,'Claim Amount'!$B$3:$J$24,2,FALSE))</f>
        <v>#N/A</v>
      </c>
      <c r="L22" s="13">
        <f>IF(I22="Regular Lab",VLOOKUP(F22,'Claim Amount'!$B$3:$J$13,2,FALSE),0)</f>
        <v>0</v>
      </c>
      <c r="M22" s="13">
        <f>IF(I22="Regular Lab",IF(VLOOKUP(External!E22,'Distance matrix'!$B$1:$C$310,2,FALSE)&lt;36,150,16*VLOOKUP(External!E22,'Distance matrix'!$B$1:$C$310,2,FALSE)),0)</f>
        <v>0</v>
      </c>
      <c r="N22" s="13" t="e">
        <f t="shared" si="0"/>
        <v>#N/A</v>
      </c>
      <c r="O22" s="61" t="e" cm="1">
        <f t="array" ref="O22">[1]!SPELLNUMBER(N22)</f>
        <v>#VALUE!</v>
      </c>
    </row>
    <row r="23" spans="1:15" s="1" customFormat="1" ht="21" customHeight="1" x14ac:dyDescent="0.25">
      <c r="A23" s="13" t="s">
        <v>69</v>
      </c>
      <c r="B23" s="13" t="s">
        <v>112</v>
      </c>
      <c r="C23" s="13">
        <f>'Paste here'!O23</f>
        <v>0</v>
      </c>
      <c r="D23" s="13">
        <f>'Paste here'!P23</f>
        <v>0</v>
      </c>
      <c r="E23" s="1">
        <f>'Paste here'!T23</f>
        <v>0</v>
      </c>
      <c r="F23" s="13">
        <f>'Paste here'!E23</f>
        <v>0</v>
      </c>
      <c r="G23" s="13">
        <f>'Paste here'!F23</f>
        <v>0</v>
      </c>
      <c r="H23" s="13">
        <f>'Paste here'!G23</f>
        <v>0</v>
      </c>
      <c r="I23" s="13">
        <f>'Paste here'!L23</f>
        <v>0</v>
      </c>
      <c r="J23" s="13">
        <f>'Paste here'!N23</f>
        <v>0</v>
      </c>
      <c r="K23" s="64" t="e">
        <f>IF(J23*VLOOKUP(H23,'Claim Amount'!$B$3:$J$24,2,FALSE)&lt;VLOOKUP(H23,'Claim Amount'!$B$3:$J$24,3,FALSE),VLOOKUP(H23,'Claim Amount'!$B$3:$J$24,3,FALSE),J23*VLOOKUP(H23,'Claim Amount'!$B$3:$J$24,2,FALSE))</f>
        <v>#N/A</v>
      </c>
      <c r="L23" s="13">
        <f>IF(I23="Regular Lab",VLOOKUP(F23,'Claim Amount'!$B$3:$J$13,2,FALSE),0)</f>
        <v>0</v>
      </c>
      <c r="M23" s="13">
        <f>IF(I23="Regular Lab",IF(VLOOKUP(External!E23,'Distance matrix'!$B$1:$C$310,2,FALSE)&lt;36,150,16*VLOOKUP(External!E23,'Distance matrix'!$B$1:$C$310,2,FALSE)),0)</f>
        <v>0</v>
      </c>
      <c r="N23" s="13" t="e">
        <f t="shared" si="0"/>
        <v>#N/A</v>
      </c>
      <c r="O23" s="61" t="e" cm="1">
        <f t="array" ref="O23">[1]!SPELLNUMBER(N23)</f>
        <v>#VALUE!</v>
      </c>
    </row>
    <row r="24" spans="1:15" ht="21" customHeight="1" x14ac:dyDescent="0.25">
      <c r="A24" s="13" t="s">
        <v>70</v>
      </c>
      <c r="B24" s="13" t="s">
        <v>112</v>
      </c>
      <c r="C24" s="13">
        <f>'Paste here'!O24</f>
        <v>0</v>
      </c>
      <c r="D24" s="13">
        <f>'Paste here'!P24</f>
        <v>0</v>
      </c>
      <c r="E24" s="1">
        <f>'Paste here'!T24</f>
        <v>0</v>
      </c>
      <c r="F24" s="13">
        <f>'Paste here'!E24</f>
        <v>0</v>
      </c>
      <c r="G24" s="13">
        <f>'Paste here'!F24</f>
        <v>0</v>
      </c>
      <c r="H24" s="13">
        <f>'Paste here'!G24</f>
        <v>0</v>
      </c>
      <c r="I24" s="13">
        <f>'Paste here'!L24</f>
        <v>0</v>
      </c>
      <c r="J24" s="13">
        <f>'Paste here'!N24</f>
        <v>0</v>
      </c>
      <c r="K24" s="64" t="e">
        <f>IF(J24*VLOOKUP(H24,'Claim Amount'!$B$3:$J$24,2,FALSE)&lt;VLOOKUP(H24,'Claim Amount'!$B$3:$J$24,3,FALSE),VLOOKUP(H24,'Claim Amount'!$B$3:$J$24,3,FALSE),J24*VLOOKUP(H24,'Claim Amount'!$B$3:$J$24,2,FALSE))</f>
        <v>#N/A</v>
      </c>
      <c r="L24" s="13">
        <f>IF(I24="Regular Lab",VLOOKUP(F24,'Claim Amount'!$B$3:$J$13,2,FALSE),0)</f>
        <v>0</v>
      </c>
      <c r="M24" s="13">
        <f>IF(I24="Regular Lab",IF(VLOOKUP(External!E24,'Distance matrix'!$B$1:$C$310,2,FALSE)&lt;36,150,16*VLOOKUP(External!E24,'Distance matrix'!$B$1:$C$310,2,FALSE)),0)</f>
        <v>0</v>
      </c>
      <c r="N24" s="13" t="e">
        <f t="shared" si="0"/>
        <v>#N/A</v>
      </c>
      <c r="O24" s="61" t="e" cm="1">
        <f t="array" ref="O24">[1]!SPELLNUMBER(N24)</f>
        <v>#VALUE!</v>
      </c>
    </row>
    <row r="25" spans="1:15" ht="21" customHeight="1" x14ac:dyDescent="0.25">
      <c r="A25" s="13" t="s">
        <v>71</v>
      </c>
      <c r="B25" s="13" t="s">
        <v>112</v>
      </c>
      <c r="C25" s="13">
        <f>'Paste here'!O25</f>
        <v>0</v>
      </c>
      <c r="D25" s="13">
        <f>'Paste here'!P25</f>
        <v>0</v>
      </c>
      <c r="E25" s="1">
        <f>'Paste here'!T25</f>
        <v>0</v>
      </c>
      <c r="F25" s="13">
        <f>'Paste here'!E25</f>
        <v>0</v>
      </c>
      <c r="G25" s="13">
        <f>'Paste here'!F25</f>
        <v>0</v>
      </c>
      <c r="H25" s="13">
        <f>'Paste here'!G25</f>
        <v>0</v>
      </c>
      <c r="I25" s="13">
        <f>'Paste here'!L25</f>
        <v>0</v>
      </c>
      <c r="J25" s="13">
        <f>'Paste here'!N25</f>
        <v>0</v>
      </c>
      <c r="K25" s="64" t="e">
        <f>IF(J25*VLOOKUP(H25,'Claim Amount'!$B$3:$J$24,2,FALSE)&lt;VLOOKUP(H25,'Claim Amount'!$B$3:$J$24,3,FALSE),VLOOKUP(H25,'Claim Amount'!$B$3:$J$24,3,FALSE),J25*VLOOKUP(H25,'Claim Amount'!$B$3:$J$24,2,FALSE))</f>
        <v>#N/A</v>
      </c>
      <c r="L25" s="13">
        <f>IF(I25="Regular Lab",VLOOKUP(F25,'Claim Amount'!$B$3:$J$13,2,FALSE),0)</f>
        <v>0</v>
      </c>
      <c r="M25" s="13">
        <f>IF(I25="Regular Lab",IF(VLOOKUP(External!E25,'Distance matrix'!$B$1:$C$310,2,FALSE)&lt;36,150,16*VLOOKUP(External!E25,'Distance matrix'!$B$1:$C$310,2,FALSE)),0)</f>
        <v>0</v>
      </c>
      <c r="N25" s="13" t="e">
        <f t="shared" si="0"/>
        <v>#N/A</v>
      </c>
      <c r="O25" s="61" t="e" cm="1">
        <f t="array" ref="O25">[1]!SPELLNUMBER(N25)</f>
        <v>#VALUE!</v>
      </c>
    </row>
    <row r="26" spans="1:15" ht="21" customHeight="1" x14ac:dyDescent="0.25">
      <c r="A26" s="13" t="s">
        <v>72</v>
      </c>
      <c r="B26" s="13" t="s">
        <v>112</v>
      </c>
      <c r="C26" s="13">
        <f>'Paste here'!O26</f>
        <v>0</v>
      </c>
      <c r="D26" s="13">
        <f>'Paste here'!P26</f>
        <v>0</v>
      </c>
      <c r="E26" s="1">
        <f>'Paste here'!T26</f>
        <v>0</v>
      </c>
      <c r="F26" s="13">
        <f>'Paste here'!E26</f>
        <v>0</v>
      </c>
      <c r="G26" s="13">
        <f>'Paste here'!F26</f>
        <v>0</v>
      </c>
      <c r="H26" s="13">
        <f>'Paste here'!G26</f>
        <v>0</v>
      </c>
      <c r="I26" s="13">
        <f>'Paste here'!L26</f>
        <v>0</v>
      </c>
      <c r="J26" s="13">
        <f>'Paste here'!N26</f>
        <v>0</v>
      </c>
      <c r="K26" s="64" t="e">
        <f>IF(J26*VLOOKUP(H26,'Claim Amount'!$B$3:$J$24,2,FALSE)&lt;VLOOKUP(H26,'Claim Amount'!$B$3:$J$24,3,FALSE),VLOOKUP(H26,'Claim Amount'!$B$3:$J$24,3,FALSE),J26*VLOOKUP(H26,'Claim Amount'!$B$3:$J$24,2,FALSE))</f>
        <v>#N/A</v>
      </c>
      <c r="L26" s="13">
        <f>IF(I26="Regular Lab",VLOOKUP(F26,'Claim Amount'!$B$3:$J$13,2,FALSE),0)</f>
        <v>0</v>
      </c>
      <c r="M26" s="13">
        <f>IF(I26="Regular Lab",IF(VLOOKUP(External!E26,'Distance matrix'!$B$1:$C$310,2,FALSE)&lt;36,150,16*VLOOKUP(External!E26,'Distance matrix'!$B$1:$C$310,2,FALSE)),0)</f>
        <v>0</v>
      </c>
      <c r="N26" s="13" t="e">
        <f t="shared" si="0"/>
        <v>#N/A</v>
      </c>
      <c r="O26" s="61" t="e" cm="1">
        <f t="array" ref="O26">[1]!SPELLNUMBER(N26)</f>
        <v>#VALUE!</v>
      </c>
    </row>
    <row r="27" spans="1:15" ht="21" customHeight="1" x14ac:dyDescent="0.25">
      <c r="A27" s="13" t="s">
        <v>73</v>
      </c>
      <c r="B27" s="13" t="s">
        <v>112</v>
      </c>
      <c r="C27" s="13">
        <f>'Paste here'!O27</f>
        <v>0</v>
      </c>
      <c r="D27" s="13">
        <f>'Paste here'!P27</f>
        <v>0</v>
      </c>
      <c r="E27" s="1">
        <f>'Paste here'!T27</f>
        <v>0</v>
      </c>
      <c r="F27" s="13">
        <f>'Paste here'!E27</f>
        <v>0</v>
      </c>
      <c r="G27" s="13">
        <f>'Paste here'!F27</f>
        <v>0</v>
      </c>
      <c r="H27" s="13">
        <f>'Paste here'!G27</f>
        <v>0</v>
      </c>
      <c r="I27" s="13">
        <f>'Paste here'!L27</f>
        <v>0</v>
      </c>
      <c r="J27" s="13">
        <f>'Paste here'!N27</f>
        <v>0</v>
      </c>
      <c r="K27" s="64" t="e">
        <f>IF(J27*VLOOKUP(H27,'Claim Amount'!$B$3:$J$24,2,FALSE)&lt;VLOOKUP(H27,'Claim Amount'!$B$3:$J$24,3,FALSE),VLOOKUP(H27,'Claim Amount'!$B$3:$J$24,3,FALSE),J27*VLOOKUP(H27,'Claim Amount'!$B$3:$J$24,2,FALSE))</f>
        <v>#N/A</v>
      </c>
      <c r="L27" s="13">
        <f>IF(I27="Regular Lab",VLOOKUP(F27,'Claim Amount'!$B$3:$J$13,2,FALSE),0)</f>
        <v>0</v>
      </c>
      <c r="M27" s="13">
        <f>IF(I27="Regular Lab",IF(VLOOKUP(External!E27,'Distance matrix'!$B$1:$C$310,2,FALSE)&lt;36,150,16*VLOOKUP(External!E27,'Distance matrix'!$B$1:$C$310,2,FALSE)),0)</f>
        <v>0</v>
      </c>
      <c r="N27" s="13" t="e">
        <f t="shared" si="0"/>
        <v>#N/A</v>
      </c>
      <c r="O27" s="61" t="e" cm="1">
        <f t="array" ref="O27">[1]!SPELLNUMBER(N27)</f>
        <v>#VALUE!</v>
      </c>
    </row>
    <row r="28" spans="1:15" ht="21" customHeight="1" x14ac:dyDescent="0.25">
      <c r="A28" s="13" t="s">
        <v>74</v>
      </c>
      <c r="B28" s="13" t="s">
        <v>112</v>
      </c>
      <c r="C28" s="13">
        <f>'Paste here'!O28</f>
        <v>0</v>
      </c>
      <c r="D28" s="13">
        <f>'Paste here'!P28</f>
        <v>0</v>
      </c>
      <c r="E28" s="1">
        <f>'Paste here'!T28</f>
        <v>0</v>
      </c>
      <c r="F28" s="13">
        <f>'Paste here'!E28</f>
        <v>0</v>
      </c>
      <c r="G28" s="13">
        <f>'Paste here'!F28</f>
        <v>0</v>
      </c>
      <c r="H28" s="13">
        <f>'Paste here'!G28</f>
        <v>0</v>
      </c>
      <c r="I28" s="13">
        <f>'Paste here'!L28</f>
        <v>0</v>
      </c>
      <c r="J28" s="13">
        <f>'Paste here'!N28</f>
        <v>0</v>
      </c>
      <c r="K28" s="64" t="e">
        <f>IF(J28*VLOOKUP(H28,'Claim Amount'!$B$3:$J$24,2,FALSE)&lt;VLOOKUP(H28,'Claim Amount'!$B$3:$J$24,3,FALSE),VLOOKUP(H28,'Claim Amount'!$B$3:$J$24,3,FALSE),J28*VLOOKUP(H28,'Claim Amount'!$B$3:$J$24,2,FALSE))</f>
        <v>#N/A</v>
      </c>
      <c r="L28" s="13">
        <f>IF(I28="Regular Lab",VLOOKUP(F28,'Claim Amount'!$B$3:$J$13,2,FALSE),0)</f>
        <v>0</v>
      </c>
      <c r="M28" s="13">
        <f>IF(I28="Regular Lab",IF(VLOOKUP(External!E28,'Distance matrix'!$B$1:$C$310,2,FALSE)&lt;36,150,16*VLOOKUP(External!E28,'Distance matrix'!$B$1:$C$310,2,FALSE)),0)</f>
        <v>0</v>
      </c>
      <c r="N28" s="13" t="e">
        <f t="shared" si="0"/>
        <v>#N/A</v>
      </c>
      <c r="O28" s="61" t="e" cm="1">
        <f t="array" ref="O28">[1]!SPELLNUMBER(N28)</f>
        <v>#VALUE!</v>
      </c>
    </row>
    <row r="29" spans="1:15" ht="21" customHeight="1" x14ac:dyDescent="0.25">
      <c r="A29" s="13" t="s">
        <v>75</v>
      </c>
      <c r="B29" s="13" t="s">
        <v>112</v>
      </c>
      <c r="C29" s="13">
        <f>'Paste here'!O29</f>
        <v>0</v>
      </c>
      <c r="D29" s="13">
        <f>'Paste here'!P29</f>
        <v>0</v>
      </c>
      <c r="E29" s="1">
        <f>'Paste here'!T29</f>
        <v>0</v>
      </c>
      <c r="F29" s="13">
        <f>'Paste here'!E29</f>
        <v>0</v>
      </c>
      <c r="G29" s="13">
        <f>'Paste here'!F29</f>
        <v>0</v>
      </c>
      <c r="H29" s="13">
        <f>'Paste here'!G29</f>
        <v>0</v>
      </c>
      <c r="I29" s="13">
        <f>'Paste here'!L29</f>
        <v>0</v>
      </c>
      <c r="J29" s="13">
        <f>'Paste here'!N29</f>
        <v>0</v>
      </c>
      <c r="K29" s="64" t="e">
        <f>IF(J29*VLOOKUP(H29,'Claim Amount'!$B$3:$J$24,2,FALSE)&lt;VLOOKUP(H29,'Claim Amount'!$B$3:$J$24,3,FALSE),VLOOKUP(H29,'Claim Amount'!$B$3:$J$24,3,FALSE),J29*VLOOKUP(H29,'Claim Amount'!$B$3:$J$24,2,FALSE))</f>
        <v>#N/A</v>
      </c>
      <c r="L29" s="13">
        <f>IF(I29="Regular Lab",VLOOKUP(F29,'Claim Amount'!$B$3:$J$13,2,FALSE),0)</f>
        <v>0</v>
      </c>
      <c r="M29" s="13">
        <f>IF(I29="Regular Lab",IF(VLOOKUP(External!E29,'Distance matrix'!$B$1:$C$310,2,FALSE)&lt;36,150,16*VLOOKUP(External!E29,'Distance matrix'!$B$1:$C$310,2,FALSE)),0)</f>
        <v>0</v>
      </c>
      <c r="N29" s="13" t="e">
        <f t="shared" si="0"/>
        <v>#N/A</v>
      </c>
      <c r="O29" s="61" t="e" cm="1">
        <f t="array" ref="O29">[1]!SPELLNUMBER(N29)</f>
        <v>#VALUE!</v>
      </c>
    </row>
    <row r="30" spans="1:15" ht="21" customHeight="1" x14ac:dyDescent="0.25">
      <c r="A30" s="13" t="s">
        <v>76</v>
      </c>
      <c r="B30" s="13" t="s">
        <v>112</v>
      </c>
      <c r="C30" s="13">
        <f>'Paste here'!O30</f>
        <v>0</v>
      </c>
      <c r="D30" s="13">
        <f>'Paste here'!P30</f>
        <v>0</v>
      </c>
      <c r="E30" s="1">
        <f>'Paste here'!T30</f>
        <v>0</v>
      </c>
      <c r="F30" s="13">
        <f>'Paste here'!E30</f>
        <v>0</v>
      </c>
      <c r="G30" s="13">
        <f>'Paste here'!F30</f>
        <v>0</v>
      </c>
      <c r="H30" s="13">
        <f>'Paste here'!G30</f>
        <v>0</v>
      </c>
      <c r="I30" s="13">
        <f>'Paste here'!L30</f>
        <v>0</v>
      </c>
      <c r="J30" s="13">
        <f>'Paste here'!N30</f>
        <v>0</v>
      </c>
      <c r="K30" s="64" t="e">
        <f>IF(J30*VLOOKUP(H30,'Claim Amount'!$B$3:$J$24,2,FALSE)&lt;VLOOKUP(H30,'Claim Amount'!$B$3:$J$24,3,FALSE),VLOOKUP(H30,'Claim Amount'!$B$3:$J$24,3,FALSE),J30*VLOOKUP(H30,'Claim Amount'!$B$3:$J$24,2,FALSE))</f>
        <v>#N/A</v>
      </c>
      <c r="L30" s="13">
        <f>IF(I30="Regular Lab",VLOOKUP(F30,'Claim Amount'!$B$3:$J$13,2,FALSE),0)</f>
        <v>0</v>
      </c>
      <c r="M30" s="13">
        <f>IF(I30="Regular Lab",IF(VLOOKUP(External!E30,'Distance matrix'!$B$1:$C$310,2,FALSE)&lt;36,150,16*VLOOKUP(External!E30,'Distance matrix'!$B$1:$C$310,2,FALSE)),0)</f>
        <v>0</v>
      </c>
      <c r="N30" s="13" t="e">
        <f t="shared" si="0"/>
        <v>#N/A</v>
      </c>
      <c r="O30" s="61" t="e" cm="1">
        <f t="array" ref="O30">[1]!SPELLNUMBER(N30)</f>
        <v>#VALUE!</v>
      </c>
    </row>
    <row r="31" spans="1:15" ht="21" customHeight="1" x14ac:dyDescent="0.25">
      <c r="A31" s="13" t="s">
        <v>77</v>
      </c>
      <c r="B31" s="13" t="s">
        <v>112</v>
      </c>
      <c r="C31" s="13">
        <f>'Paste here'!O31</f>
        <v>0</v>
      </c>
      <c r="D31" s="13">
        <f>'Paste here'!P31</f>
        <v>0</v>
      </c>
      <c r="E31" s="1">
        <f>'Paste here'!T31</f>
        <v>0</v>
      </c>
      <c r="F31" s="13">
        <f>'Paste here'!E31</f>
        <v>0</v>
      </c>
      <c r="G31" s="13">
        <f>'Paste here'!F31</f>
        <v>0</v>
      </c>
      <c r="H31" s="13">
        <f>'Paste here'!G31</f>
        <v>0</v>
      </c>
      <c r="I31" s="13">
        <f>'Paste here'!L31</f>
        <v>0</v>
      </c>
      <c r="J31" s="13">
        <f>'Paste here'!N31</f>
        <v>0</v>
      </c>
      <c r="K31" s="64" t="e">
        <f>IF(J31*VLOOKUP(H31,'Claim Amount'!$B$3:$J$24,2,FALSE)&lt;VLOOKUP(H31,'Claim Amount'!$B$3:$J$24,3,FALSE),VLOOKUP(H31,'Claim Amount'!$B$3:$J$24,3,FALSE),J31*VLOOKUP(H31,'Claim Amount'!$B$3:$J$24,2,FALSE))</f>
        <v>#N/A</v>
      </c>
      <c r="L31" s="13">
        <f>IF(I31="Regular Lab",VLOOKUP(F31,'Claim Amount'!$B$3:$J$13,2,FALSE),0)</f>
        <v>0</v>
      </c>
      <c r="M31" s="13">
        <f>IF(I31="Regular Lab",IF(VLOOKUP(External!E31,'Distance matrix'!$B$1:$C$310,2,FALSE)&lt;36,150,16*VLOOKUP(External!E31,'Distance matrix'!$B$1:$C$310,2,FALSE)),0)</f>
        <v>0</v>
      </c>
      <c r="N31" s="13" t="e">
        <f t="shared" si="0"/>
        <v>#N/A</v>
      </c>
      <c r="O31" s="61" t="e" cm="1">
        <f t="array" ref="O31">[1]!SPELLNUMBER(N31)</f>
        <v>#VALUE!</v>
      </c>
    </row>
    <row r="32" spans="1:15" ht="21" customHeight="1" x14ac:dyDescent="0.25">
      <c r="A32" s="13" t="s">
        <v>80</v>
      </c>
      <c r="B32" s="13" t="s">
        <v>112</v>
      </c>
      <c r="C32" s="13">
        <f>'Paste here'!O32</f>
        <v>0</v>
      </c>
      <c r="D32" s="13">
        <f>'Paste here'!P32</f>
        <v>0</v>
      </c>
      <c r="E32" s="1">
        <f>'Paste here'!T32</f>
        <v>0</v>
      </c>
      <c r="F32" s="13">
        <f>'Paste here'!E32</f>
        <v>0</v>
      </c>
      <c r="G32" s="13">
        <f>'Paste here'!F32</f>
        <v>0</v>
      </c>
      <c r="H32" s="13">
        <f>'Paste here'!G32</f>
        <v>0</v>
      </c>
      <c r="I32" s="13">
        <f>'Paste here'!L32</f>
        <v>0</v>
      </c>
      <c r="J32" s="13">
        <f>'Paste here'!N32</f>
        <v>0</v>
      </c>
      <c r="K32" s="64" t="e">
        <f>IF(J32*VLOOKUP(H32,'Claim Amount'!$B$3:$J$24,2,FALSE)&lt;VLOOKUP(H32,'Claim Amount'!$B$3:$J$24,3,FALSE),VLOOKUP(H32,'Claim Amount'!$B$3:$J$24,3,FALSE),J32*VLOOKUP(H32,'Claim Amount'!$B$3:$J$24,2,FALSE))</f>
        <v>#N/A</v>
      </c>
      <c r="L32" s="13">
        <f>IF(I32="Regular Lab",VLOOKUP(F32,'Claim Amount'!$B$3:$J$13,2,FALSE),0)</f>
        <v>0</v>
      </c>
      <c r="M32" s="13">
        <f>IF(I32="Regular Lab",IF(VLOOKUP(External!E32,'Distance matrix'!$B$1:$C$310,2,FALSE)&lt;36,150,16*VLOOKUP(External!E32,'Distance matrix'!$B$1:$C$310,2,FALSE)),0)</f>
        <v>0</v>
      </c>
      <c r="N32" s="13" t="e">
        <f t="shared" si="0"/>
        <v>#N/A</v>
      </c>
      <c r="O32" s="61" t="e" cm="1">
        <f t="array" ref="O32">[1]!SPELLNUMBER(N32)</f>
        <v>#VALUE!</v>
      </c>
    </row>
    <row r="33" spans="1:15" ht="21" customHeight="1" x14ac:dyDescent="0.25">
      <c r="A33" s="13" t="s">
        <v>81</v>
      </c>
      <c r="B33" s="13" t="s">
        <v>112</v>
      </c>
      <c r="C33" s="13">
        <f>'Paste here'!O33</f>
        <v>0</v>
      </c>
      <c r="D33" s="13">
        <f>'Paste here'!P33</f>
        <v>0</v>
      </c>
      <c r="E33" s="1">
        <f>'Paste here'!T33</f>
        <v>0</v>
      </c>
      <c r="F33" s="13">
        <f>'Paste here'!E33</f>
        <v>0</v>
      </c>
      <c r="G33" s="13">
        <f>'Paste here'!F33</f>
        <v>0</v>
      </c>
      <c r="H33" s="13">
        <f>'Paste here'!G33</f>
        <v>0</v>
      </c>
      <c r="I33" s="13">
        <f>'Paste here'!L33</f>
        <v>0</v>
      </c>
      <c r="J33" s="13">
        <f>'Paste here'!N33</f>
        <v>0</v>
      </c>
      <c r="K33" s="64" t="e">
        <f>IF(J33*VLOOKUP(H33,'Claim Amount'!$B$3:$J$24,2,FALSE)&lt;VLOOKUP(H33,'Claim Amount'!$B$3:$J$24,3,FALSE),VLOOKUP(H33,'Claim Amount'!$B$3:$J$24,3,FALSE),J33*VLOOKUP(H33,'Claim Amount'!$B$3:$J$24,2,FALSE))</f>
        <v>#N/A</v>
      </c>
      <c r="L33" s="13">
        <f>IF(I33="Regular Lab",VLOOKUP(F33,'Claim Amount'!$B$3:$J$13,2,FALSE),0)</f>
        <v>0</v>
      </c>
      <c r="M33" s="13">
        <f>IF(I33="Regular Lab",IF(VLOOKUP(External!E33,'Distance matrix'!$B$1:$C$310,2,FALSE)&lt;36,150,16*VLOOKUP(External!E33,'Distance matrix'!$B$1:$C$310,2,FALSE)),0)</f>
        <v>0</v>
      </c>
      <c r="N33" s="13" t="e">
        <f t="shared" si="0"/>
        <v>#N/A</v>
      </c>
      <c r="O33" s="61" t="e" cm="1">
        <f t="array" ref="O33">[1]!SPELLNUMBER(N33)</f>
        <v>#VALUE!</v>
      </c>
    </row>
    <row r="34" spans="1:15" ht="21" customHeight="1" x14ac:dyDescent="0.25">
      <c r="A34" s="13" t="s">
        <v>82</v>
      </c>
      <c r="B34" s="13" t="s">
        <v>112</v>
      </c>
      <c r="C34" s="13">
        <f>'Paste here'!O34</f>
        <v>0</v>
      </c>
      <c r="D34" s="13">
        <f>'Paste here'!P34</f>
        <v>0</v>
      </c>
      <c r="E34" s="1">
        <f>'Paste here'!T34</f>
        <v>0</v>
      </c>
      <c r="F34" s="13">
        <f>'Paste here'!E34</f>
        <v>0</v>
      </c>
      <c r="G34" s="13">
        <f>'Paste here'!F34</f>
        <v>0</v>
      </c>
      <c r="H34" s="13">
        <f>'Paste here'!G34</f>
        <v>0</v>
      </c>
      <c r="I34" s="13">
        <f>'Paste here'!L34</f>
        <v>0</v>
      </c>
      <c r="J34" s="13">
        <f>'Paste here'!N34</f>
        <v>0</v>
      </c>
      <c r="K34" s="64" t="e">
        <f>IF(J34*VLOOKUP(H34,'Claim Amount'!$B$3:$J$24,2,FALSE)&lt;VLOOKUP(H34,'Claim Amount'!$B$3:$J$24,3,FALSE),VLOOKUP(H34,'Claim Amount'!$B$3:$J$24,3,FALSE),J34*VLOOKUP(H34,'Claim Amount'!$B$3:$J$24,2,FALSE))</f>
        <v>#N/A</v>
      </c>
      <c r="L34" s="13">
        <f>IF(I34="Regular Lab",VLOOKUP(F34,'Claim Amount'!$B$3:$J$13,2,FALSE),0)</f>
        <v>0</v>
      </c>
      <c r="M34" s="13">
        <f>IF(I34="Regular Lab",IF(VLOOKUP(External!E34,'Distance matrix'!$B$1:$C$310,2,FALSE)&lt;36,150,16*VLOOKUP(External!E34,'Distance matrix'!$B$1:$C$310,2,FALSE)),0)</f>
        <v>0</v>
      </c>
      <c r="N34" s="13" t="e">
        <f t="shared" si="0"/>
        <v>#N/A</v>
      </c>
      <c r="O34" s="61" t="e" cm="1">
        <f t="array" ref="O34">[1]!SPELLNUMBER(N34)</f>
        <v>#VALUE!</v>
      </c>
    </row>
    <row r="35" spans="1:15" ht="21" customHeight="1" x14ac:dyDescent="0.25">
      <c r="A35" s="13" t="s">
        <v>83</v>
      </c>
      <c r="B35" s="13" t="s">
        <v>112</v>
      </c>
      <c r="C35" s="13">
        <f>'Paste here'!O35</f>
        <v>0</v>
      </c>
      <c r="D35" s="13">
        <f>'Paste here'!P35</f>
        <v>0</v>
      </c>
      <c r="E35" s="1">
        <f>'Paste here'!T35</f>
        <v>0</v>
      </c>
      <c r="F35" s="13">
        <f>'Paste here'!E35</f>
        <v>0</v>
      </c>
      <c r="G35" s="13">
        <f>'Paste here'!F35</f>
        <v>0</v>
      </c>
      <c r="H35" s="13">
        <f>'Paste here'!G35</f>
        <v>0</v>
      </c>
      <c r="I35" s="13">
        <f>'Paste here'!L35</f>
        <v>0</v>
      </c>
      <c r="J35" s="13">
        <f>'Paste here'!N35</f>
        <v>0</v>
      </c>
      <c r="K35" s="64" t="e">
        <f>IF(J35*VLOOKUP(H35,'Claim Amount'!$B$3:$J$24,2,FALSE)&lt;VLOOKUP(H35,'Claim Amount'!$B$3:$J$24,3,FALSE),VLOOKUP(H35,'Claim Amount'!$B$3:$J$24,3,FALSE),J35*VLOOKUP(H35,'Claim Amount'!$B$3:$J$24,2,FALSE))</f>
        <v>#N/A</v>
      </c>
      <c r="L35" s="13">
        <f>IF(I35="Regular Lab",VLOOKUP(F35,'Claim Amount'!$B$3:$J$13,2,FALSE),0)</f>
        <v>0</v>
      </c>
      <c r="M35" s="13">
        <f>IF(I35="Regular Lab",IF(VLOOKUP(External!E35,'Distance matrix'!$B$1:$C$310,2,FALSE)&lt;36,150,16*VLOOKUP(External!E35,'Distance matrix'!$B$1:$C$310,2,FALSE)),0)</f>
        <v>0</v>
      </c>
      <c r="N35" s="13" t="e">
        <f t="shared" si="0"/>
        <v>#N/A</v>
      </c>
      <c r="O35" s="61" t="e" cm="1">
        <f t="array" ref="O35">[1]!SPELLNUMBER(N35)</f>
        <v>#VALUE!</v>
      </c>
    </row>
    <row r="36" spans="1:15" ht="21" customHeight="1" x14ac:dyDescent="0.25">
      <c r="A36" s="13" t="s">
        <v>84</v>
      </c>
      <c r="B36" s="13" t="s">
        <v>112</v>
      </c>
      <c r="C36" s="13">
        <f>'Paste here'!O36</f>
        <v>0</v>
      </c>
      <c r="D36" s="13">
        <f>'Paste here'!P36</f>
        <v>0</v>
      </c>
      <c r="E36" s="1">
        <f>'Paste here'!T36</f>
        <v>0</v>
      </c>
      <c r="F36" s="13">
        <f>'Paste here'!E36</f>
        <v>0</v>
      </c>
      <c r="G36" s="13">
        <f>'Paste here'!F36</f>
        <v>0</v>
      </c>
      <c r="H36" s="13">
        <f>'Paste here'!G36</f>
        <v>0</v>
      </c>
      <c r="I36" s="13">
        <f>'Paste here'!L36</f>
        <v>0</v>
      </c>
      <c r="J36" s="13">
        <f>'Paste here'!N36</f>
        <v>0</v>
      </c>
      <c r="K36" s="64" t="e">
        <f>IF(J36*VLOOKUP(H36,'Claim Amount'!$B$3:$J$24,2,FALSE)&lt;VLOOKUP(H36,'Claim Amount'!$B$3:$J$24,3,FALSE),VLOOKUP(H36,'Claim Amount'!$B$3:$J$24,3,FALSE),J36*VLOOKUP(H36,'Claim Amount'!$B$3:$J$24,2,FALSE))</f>
        <v>#N/A</v>
      </c>
      <c r="L36" s="13">
        <f>IF(I36="Regular Lab",VLOOKUP(F36,'Claim Amount'!$B$3:$J$13,2,FALSE),0)</f>
        <v>0</v>
      </c>
      <c r="M36" s="13">
        <f>IF(I36="Regular Lab",IF(VLOOKUP(External!E36,'Distance matrix'!$B$1:$C$310,2,FALSE)&lt;36,150,16*VLOOKUP(External!E36,'Distance matrix'!$B$1:$C$310,2,FALSE)),0)</f>
        <v>0</v>
      </c>
      <c r="N36" s="13" t="e">
        <f t="shared" si="0"/>
        <v>#N/A</v>
      </c>
      <c r="O36" s="61" t="e" cm="1">
        <f t="array" ref="O36">[1]!SPELLNUMBER(N36)</f>
        <v>#VALUE!</v>
      </c>
    </row>
    <row r="37" spans="1:15" ht="21" customHeight="1" x14ac:dyDescent="0.25">
      <c r="A37" s="13" t="s">
        <v>85</v>
      </c>
      <c r="B37" s="13" t="s">
        <v>112</v>
      </c>
      <c r="C37" s="13">
        <f>'Paste here'!O37</f>
        <v>0</v>
      </c>
      <c r="D37" s="13">
        <f>'Paste here'!P37</f>
        <v>0</v>
      </c>
      <c r="E37" s="1">
        <f>'Paste here'!T37</f>
        <v>0</v>
      </c>
      <c r="F37" s="13">
        <f>'Paste here'!E37</f>
        <v>0</v>
      </c>
      <c r="G37" s="13">
        <f>'Paste here'!F37</f>
        <v>0</v>
      </c>
      <c r="H37" s="13">
        <f>'Paste here'!G37</f>
        <v>0</v>
      </c>
      <c r="I37" s="13">
        <f>'Paste here'!L37</f>
        <v>0</v>
      </c>
      <c r="J37" s="13">
        <f>'Paste here'!N37</f>
        <v>0</v>
      </c>
      <c r="K37" s="64" t="e">
        <f>IF(J37*VLOOKUP(H37,'Claim Amount'!$B$3:$J$24,2,FALSE)&lt;VLOOKUP(H37,'Claim Amount'!$B$3:$J$24,3,FALSE),VLOOKUP(H37,'Claim Amount'!$B$3:$J$24,3,FALSE),J37*VLOOKUP(H37,'Claim Amount'!$B$3:$J$24,2,FALSE))</f>
        <v>#N/A</v>
      </c>
      <c r="L37" s="13">
        <f>IF(I37="Regular Lab",VLOOKUP(F37,'Claim Amount'!$B$3:$J$13,2,FALSE),0)</f>
        <v>0</v>
      </c>
      <c r="M37" s="13">
        <f>IF(I37="Regular Lab",IF(VLOOKUP(External!E37,'Distance matrix'!$B$1:$C$310,2,FALSE)&lt;36,150,16*VLOOKUP(External!E37,'Distance matrix'!$B$1:$C$310,2,FALSE)),0)</f>
        <v>0</v>
      </c>
      <c r="N37" s="13" t="e">
        <f t="shared" si="0"/>
        <v>#N/A</v>
      </c>
      <c r="O37" s="61" t="e" cm="1">
        <f t="array" ref="O37">[1]!SPELLNUMBER(N37)</f>
        <v>#VALUE!</v>
      </c>
    </row>
    <row r="38" spans="1:15" ht="21" customHeight="1" x14ac:dyDescent="0.25">
      <c r="A38" s="13" t="s">
        <v>86</v>
      </c>
      <c r="B38" s="13" t="s">
        <v>112</v>
      </c>
      <c r="C38" s="13">
        <f>'Paste here'!O38</f>
        <v>0</v>
      </c>
      <c r="D38" s="13">
        <f>'Paste here'!P38</f>
        <v>0</v>
      </c>
      <c r="E38" s="1">
        <f>'Paste here'!T38</f>
        <v>0</v>
      </c>
      <c r="F38" s="13">
        <f>'Paste here'!E38</f>
        <v>0</v>
      </c>
      <c r="G38" s="13">
        <f>'Paste here'!F38</f>
        <v>0</v>
      </c>
      <c r="H38" s="13">
        <f>'Paste here'!G38</f>
        <v>0</v>
      </c>
      <c r="I38" s="13">
        <f>'Paste here'!L38</f>
        <v>0</v>
      </c>
      <c r="J38" s="13">
        <f>'Paste here'!N38</f>
        <v>0</v>
      </c>
      <c r="K38" s="64" t="e">
        <f>IF(J38*VLOOKUP(H38,'Claim Amount'!$B$3:$J$24,2,FALSE)&lt;VLOOKUP(H38,'Claim Amount'!$B$3:$J$24,3,FALSE),VLOOKUP(H38,'Claim Amount'!$B$3:$J$24,3,FALSE),J38*VLOOKUP(H38,'Claim Amount'!$B$3:$J$24,2,FALSE))</f>
        <v>#N/A</v>
      </c>
      <c r="L38" s="13">
        <f>IF(I38="Regular Lab",VLOOKUP(F38,'Claim Amount'!$B$3:$J$13,2,FALSE),0)</f>
        <v>0</v>
      </c>
      <c r="M38" s="13">
        <f>IF(I38="Regular Lab",IF(VLOOKUP(External!E38,'Distance matrix'!$B$1:$C$310,2,FALSE)&lt;36,150,16*VLOOKUP(External!E38,'Distance matrix'!$B$1:$C$310,2,FALSE)),0)</f>
        <v>0</v>
      </c>
      <c r="N38" s="13" t="e">
        <f t="shared" si="0"/>
        <v>#N/A</v>
      </c>
      <c r="O38" s="61" t="e" cm="1">
        <f t="array" ref="O38">[1]!SPELLNUMBER(N38)</f>
        <v>#VALUE!</v>
      </c>
    </row>
    <row r="39" spans="1:15" ht="21" customHeight="1" x14ac:dyDescent="0.25">
      <c r="A39" s="13" t="s">
        <v>87</v>
      </c>
      <c r="B39" s="13" t="s">
        <v>112</v>
      </c>
      <c r="C39" s="13">
        <f>'Paste here'!O39</f>
        <v>0</v>
      </c>
      <c r="D39" s="13">
        <f>'Paste here'!P39</f>
        <v>0</v>
      </c>
      <c r="E39" s="1">
        <f>'Paste here'!T39</f>
        <v>0</v>
      </c>
      <c r="F39" s="13">
        <f>'Paste here'!E39</f>
        <v>0</v>
      </c>
      <c r="G39" s="13">
        <f>'Paste here'!F39</f>
        <v>0</v>
      </c>
      <c r="H39" s="13">
        <f>'Paste here'!G39</f>
        <v>0</v>
      </c>
      <c r="I39" s="13">
        <f>'Paste here'!L39</f>
        <v>0</v>
      </c>
      <c r="J39" s="13">
        <f>'Paste here'!N39</f>
        <v>0</v>
      </c>
      <c r="K39" s="64" t="e">
        <f>IF(J39*VLOOKUP(H39,'Claim Amount'!$B$3:$J$24,2,FALSE)&lt;VLOOKUP(H39,'Claim Amount'!$B$3:$J$24,3,FALSE),VLOOKUP(H39,'Claim Amount'!$B$3:$J$24,3,FALSE),J39*VLOOKUP(H39,'Claim Amount'!$B$3:$J$24,2,FALSE))</f>
        <v>#N/A</v>
      </c>
      <c r="L39" s="13">
        <f>IF(I39="Regular Lab",VLOOKUP(F39,'Claim Amount'!$B$3:$J$13,2,FALSE),0)</f>
        <v>0</v>
      </c>
      <c r="M39" s="13">
        <f>IF(I39="Regular Lab",IF(VLOOKUP(External!E39,'Distance matrix'!$B$1:$C$310,2,FALSE)&lt;36,150,16*VLOOKUP(External!E39,'Distance matrix'!$B$1:$C$310,2,FALSE)),0)</f>
        <v>0</v>
      </c>
      <c r="N39" s="13" t="e">
        <f t="shared" si="0"/>
        <v>#N/A</v>
      </c>
      <c r="O39" s="61" t="e" cm="1">
        <f t="array" ref="O39">[1]!SPELLNUMBER(N39)</f>
        <v>#VALUE!</v>
      </c>
    </row>
    <row r="40" spans="1:15" ht="21" customHeight="1" x14ac:dyDescent="0.25">
      <c r="A40" s="13" t="s">
        <v>88</v>
      </c>
      <c r="B40" s="13" t="s">
        <v>112</v>
      </c>
      <c r="C40" s="13">
        <f>'Paste here'!O40</f>
        <v>0</v>
      </c>
      <c r="D40" s="13">
        <f>'Paste here'!P40</f>
        <v>0</v>
      </c>
      <c r="E40" s="1">
        <f>'Paste here'!T40</f>
        <v>0</v>
      </c>
      <c r="F40" s="13">
        <f>'Paste here'!E40</f>
        <v>0</v>
      </c>
      <c r="G40" s="13">
        <f>'Paste here'!F40</f>
        <v>0</v>
      </c>
      <c r="H40" s="13">
        <f>'Paste here'!G40</f>
        <v>0</v>
      </c>
      <c r="I40" s="13">
        <f>'Paste here'!L40</f>
        <v>0</v>
      </c>
      <c r="J40" s="13">
        <f>'Paste here'!N40</f>
        <v>0</v>
      </c>
      <c r="K40" s="64" t="e">
        <f>IF(J40*VLOOKUP(H40,'Claim Amount'!$B$3:$J$24,2,FALSE)&lt;VLOOKUP(H40,'Claim Amount'!$B$3:$J$24,3,FALSE),VLOOKUP(H40,'Claim Amount'!$B$3:$J$24,3,FALSE),J40*VLOOKUP(H40,'Claim Amount'!$B$3:$J$24,2,FALSE))</f>
        <v>#N/A</v>
      </c>
      <c r="L40" s="13">
        <f>IF(I40="Regular Lab",VLOOKUP(F40,'Claim Amount'!$B$3:$J$13,2,FALSE),0)</f>
        <v>0</v>
      </c>
      <c r="M40" s="13">
        <f>IF(I40="Regular Lab",IF(VLOOKUP(External!E40,'Distance matrix'!$B$1:$C$310,2,FALSE)&lt;36,150,16*VLOOKUP(External!E40,'Distance matrix'!$B$1:$C$310,2,FALSE)),0)</f>
        <v>0</v>
      </c>
      <c r="N40" s="13" t="e">
        <f t="shared" si="0"/>
        <v>#N/A</v>
      </c>
      <c r="O40" s="61" t="e" cm="1">
        <f t="array" ref="O40">[1]!SPELLNUMBER(N40)</f>
        <v>#VALUE!</v>
      </c>
    </row>
    <row r="41" spans="1:15" ht="21" customHeight="1" x14ac:dyDescent="0.25">
      <c r="A41" s="13" t="s">
        <v>89</v>
      </c>
      <c r="B41" s="13" t="s">
        <v>112</v>
      </c>
      <c r="C41" s="13">
        <f>'Paste here'!O41</f>
        <v>0</v>
      </c>
      <c r="D41" s="13">
        <f>'Paste here'!P41</f>
        <v>0</v>
      </c>
      <c r="E41" s="1">
        <f>'Paste here'!T41</f>
        <v>0</v>
      </c>
      <c r="F41" s="13">
        <f>'Paste here'!E41</f>
        <v>0</v>
      </c>
      <c r="G41" s="13">
        <f>'Paste here'!F41</f>
        <v>0</v>
      </c>
      <c r="H41" s="13">
        <f>'Paste here'!G41</f>
        <v>0</v>
      </c>
      <c r="I41" s="13">
        <f>'Paste here'!L41</f>
        <v>0</v>
      </c>
      <c r="J41" s="13">
        <f>'Paste here'!N41</f>
        <v>0</v>
      </c>
      <c r="K41" s="64" t="e">
        <f>IF(J41*VLOOKUP(H41,'Claim Amount'!$B$3:$J$24,2,FALSE)&lt;VLOOKUP(H41,'Claim Amount'!$B$3:$J$24,3,FALSE),VLOOKUP(H41,'Claim Amount'!$B$3:$J$24,3,FALSE),J41*VLOOKUP(H41,'Claim Amount'!$B$3:$J$24,2,FALSE))</f>
        <v>#N/A</v>
      </c>
      <c r="L41" s="13">
        <f>IF(I41="Regular Lab",VLOOKUP(F41,'Claim Amount'!$B$3:$J$13,2,FALSE),0)</f>
        <v>0</v>
      </c>
      <c r="M41" s="13">
        <f>IF(I41="Regular Lab",IF(VLOOKUP(External!E41,'Distance matrix'!$B$1:$C$310,2,FALSE)&lt;36,150,16*VLOOKUP(External!E41,'Distance matrix'!$B$1:$C$310,2,FALSE)),0)</f>
        <v>0</v>
      </c>
      <c r="N41" s="13" t="e">
        <f t="shared" si="0"/>
        <v>#N/A</v>
      </c>
      <c r="O41" s="61" t="e" cm="1">
        <f t="array" ref="O41">[1]!SPELLNUMBER(N41)</f>
        <v>#VALUE!</v>
      </c>
    </row>
    <row r="42" spans="1:15" ht="21" customHeight="1" x14ac:dyDescent="0.25">
      <c r="A42" s="13" t="s">
        <v>90</v>
      </c>
      <c r="B42" s="13" t="s">
        <v>112</v>
      </c>
      <c r="C42" s="13">
        <f>'Paste here'!O42</f>
        <v>0</v>
      </c>
      <c r="D42" s="13">
        <f>'Paste here'!P42</f>
        <v>0</v>
      </c>
      <c r="E42" s="1">
        <f>'Paste here'!T42</f>
        <v>0</v>
      </c>
      <c r="F42" s="13">
        <f>'Paste here'!E42</f>
        <v>0</v>
      </c>
      <c r="G42" s="13">
        <f>'Paste here'!F42</f>
        <v>0</v>
      </c>
      <c r="H42" s="13">
        <f>'Paste here'!G42</f>
        <v>0</v>
      </c>
      <c r="I42" s="13">
        <f>'Paste here'!L42</f>
        <v>0</v>
      </c>
      <c r="J42" s="13">
        <f>'Paste here'!N42</f>
        <v>0</v>
      </c>
      <c r="K42" s="64" t="e">
        <f>IF(J42*VLOOKUP(H42,'Claim Amount'!$B$3:$J$24,2,FALSE)&lt;VLOOKUP(H42,'Claim Amount'!$B$3:$J$24,3,FALSE),VLOOKUP(H42,'Claim Amount'!$B$3:$J$24,3,FALSE),J42*VLOOKUP(H42,'Claim Amount'!$B$3:$J$24,2,FALSE))</f>
        <v>#N/A</v>
      </c>
      <c r="L42" s="13">
        <f>IF(I42="Regular Lab",VLOOKUP(F42,'Claim Amount'!$B$3:$J$13,2,FALSE),0)</f>
        <v>0</v>
      </c>
      <c r="M42" s="13">
        <f>IF(I42="Regular Lab",IF(VLOOKUP(External!E42,'Distance matrix'!$B$1:$C$310,2,FALSE)&lt;36,150,16*VLOOKUP(External!E42,'Distance matrix'!$B$1:$C$310,2,FALSE)),0)</f>
        <v>0</v>
      </c>
      <c r="N42" s="13" t="e">
        <f t="shared" si="0"/>
        <v>#N/A</v>
      </c>
      <c r="O42" s="61" t="e" cm="1">
        <f t="array" ref="O42">[1]!SPELLNUMBER(N42)</f>
        <v>#VALUE!</v>
      </c>
    </row>
    <row r="43" spans="1:15" ht="21" customHeight="1" x14ac:dyDescent="0.25">
      <c r="A43" s="13" t="s">
        <v>91</v>
      </c>
      <c r="B43" s="13" t="s">
        <v>112</v>
      </c>
      <c r="C43" s="13">
        <f>'Paste here'!O43</f>
        <v>0</v>
      </c>
      <c r="D43" s="13">
        <f>'Paste here'!P43</f>
        <v>0</v>
      </c>
      <c r="E43" s="1">
        <f>'Paste here'!T43</f>
        <v>0</v>
      </c>
      <c r="F43" s="13">
        <f>'Paste here'!E43</f>
        <v>0</v>
      </c>
      <c r="G43" s="13">
        <f>'Paste here'!F43</f>
        <v>0</v>
      </c>
      <c r="H43" s="13">
        <f>'Paste here'!G43</f>
        <v>0</v>
      </c>
      <c r="I43" s="13">
        <f>'Paste here'!L43</f>
        <v>0</v>
      </c>
      <c r="J43" s="13">
        <f>'Paste here'!N43</f>
        <v>0</v>
      </c>
      <c r="K43" s="64" t="e">
        <f>IF(J43*VLOOKUP(H43,'Claim Amount'!$B$3:$J$24,2,FALSE)&lt;VLOOKUP(H43,'Claim Amount'!$B$3:$J$24,3,FALSE),VLOOKUP(H43,'Claim Amount'!$B$3:$J$24,3,FALSE),J43*VLOOKUP(H43,'Claim Amount'!$B$3:$J$24,2,FALSE))</f>
        <v>#N/A</v>
      </c>
      <c r="L43" s="13">
        <f>IF(I43="Regular Lab",VLOOKUP(F43,'Claim Amount'!$B$3:$J$13,2,FALSE),0)</f>
        <v>0</v>
      </c>
      <c r="M43" s="13">
        <f>IF(I43="Regular Lab",IF(VLOOKUP(External!E43,'Distance matrix'!$B$1:$C$310,2,FALSE)&lt;36,150,16*VLOOKUP(External!E43,'Distance matrix'!$B$1:$C$310,2,FALSE)),0)</f>
        <v>0</v>
      </c>
      <c r="N43" s="13" t="e">
        <f t="shared" si="0"/>
        <v>#N/A</v>
      </c>
      <c r="O43" s="61" t="e" cm="1">
        <f t="array" ref="O43">[1]!SPELLNUMBER(N43)</f>
        <v>#VALUE!</v>
      </c>
    </row>
    <row r="44" spans="1:15" ht="21" customHeight="1" x14ac:dyDescent="0.25">
      <c r="A44" s="13" t="s">
        <v>92</v>
      </c>
      <c r="B44" s="13" t="s">
        <v>112</v>
      </c>
      <c r="C44" s="13">
        <f>'Paste here'!O44</f>
        <v>0</v>
      </c>
      <c r="D44" s="13">
        <f>'Paste here'!P44</f>
        <v>0</v>
      </c>
      <c r="E44" s="1">
        <f>'Paste here'!T44</f>
        <v>0</v>
      </c>
      <c r="F44" s="13">
        <f>'Paste here'!E44</f>
        <v>0</v>
      </c>
      <c r="G44" s="13">
        <f>'Paste here'!F44</f>
        <v>0</v>
      </c>
      <c r="H44" s="13">
        <f>'Paste here'!G44</f>
        <v>0</v>
      </c>
      <c r="I44" s="13">
        <f>'Paste here'!L44</f>
        <v>0</v>
      </c>
      <c r="J44" s="13">
        <f>'Paste here'!N44</f>
        <v>0</v>
      </c>
      <c r="K44" s="64" t="e">
        <f>IF(J44*VLOOKUP(H44,'Claim Amount'!$B$3:$J$24,2,FALSE)&lt;VLOOKUP(H44,'Claim Amount'!$B$3:$J$24,3,FALSE),VLOOKUP(H44,'Claim Amount'!$B$3:$J$24,3,FALSE),J44*VLOOKUP(H44,'Claim Amount'!$B$3:$J$24,2,FALSE))</f>
        <v>#N/A</v>
      </c>
      <c r="L44" s="13">
        <f>IF(I44="Regular Lab",VLOOKUP(F44,'Claim Amount'!$B$3:$J$13,2,FALSE),0)</f>
        <v>0</v>
      </c>
      <c r="M44" s="13">
        <f>IF(I44="Regular Lab",IF(VLOOKUP(External!E44,'Distance matrix'!$B$1:$C$310,2,FALSE)&lt;36,150,16*VLOOKUP(External!E44,'Distance matrix'!$B$1:$C$310,2,FALSE)),0)</f>
        <v>0</v>
      </c>
      <c r="N44" s="13" t="e">
        <f t="shared" si="0"/>
        <v>#N/A</v>
      </c>
      <c r="O44" s="61" t="e" cm="1">
        <f t="array" ref="O44">[1]!SPELLNUMBER(N44)</f>
        <v>#VALUE!</v>
      </c>
    </row>
    <row r="45" spans="1:15" ht="21" customHeight="1" x14ac:dyDescent="0.25">
      <c r="A45" s="13" t="s">
        <v>93</v>
      </c>
      <c r="B45" s="13" t="s">
        <v>112</v>
      </c>
      <c r="C45" s="13">
        <f>'Paste here'!O45</f>
        <v>0</v>
      </c>
      <c r="D45" s="13">
        <f>'Paste here'!P45</f>
        <v>0</v>
      </c>
      <c r="E45" s="1">
        <f>'Paste here'!T45</f>
        <v>0</v>
      </c>
      <c r="F45" s="13">
        <f>'Paste here'!E45</f>
        <v>0</v>
      </c>
      <c r="G45" s="13">
        <f>'Paste here'!F45</f>
        <v>0</v>
      </c>
      <c r="H45" s="13">
        <f>'Paste here'!G45</f>
        <v>0</v>
      </c>
      <c r="I45" s="13">
        <f>'Paste here'!L45</f>
        <v>0</v>
      </c>
      <c r="J45" s="13">
        <f>'Paste here'!N45</f>
        <v>0</v>
      </c>
      <c r="K45" s="64" t="e">
        <f>IF(J45*VLOOKUP(H45,'Claim Amount'!$B$3:$J$24,2,FALSE)&lt;VLOOKUP(H45,'Claim Amount'!$B$3:$J$24,3,FALSE),VLOOKUP(H45,'Claim Amount'!$B$3:$J$24,3,FALSE),J45*VLOOKUP(H45,'Claim Amount'!$B$3:$J$24,2,FALSE))</f>
        <v>#N/A</v>
      </c>
      <c r="L45" s="13">
        <f>IF(I45="Regular Lab",VLOOKUP(F45,'Claim Amount'!$B$3:$J$13,2,FALSE),0)</f>
        <v>0</v>
      </c>
      <c r="M45" s="13">
        <f>IF(I45="Regular Lab",IF(VLOOKUP(External!E45,'Distance matrix'!$B$1:$C$310,2,FALSE)&lt;36,150,16*VLOOKUP(External!E45,'Distance matrix'!$B$1:$C$310,2,FALSE)),0)</f>
        <v>0</v>
      </c>
      <c r="N45" s="13" t="e">
        <f t="shared" si="0"/>
        <v>#N/A</v>
      </c>
      <c r="O45" s="61" t="e" cm="1">
        <f t="array" ref="O45">[1]!SPELLNUMBER(N45)</f>
        <v>#VALUE!</v>
      </c>
    </row>
    <row r="46" spans="1:15" ht="21" customHeight="1" x14ac:dyDescent="0.25">
      <c r="A46" s="13" t="s">
        <v>94</v>
      </c>
      <c r="B46" s="13" t="s">
        <v>112</v>
      </c>
      <c r="C46" s="13">
        <f>'Paste here'!O46</f>
        <v>0</v>
      </c>
      <c r="D46" s="13">
        <f>'Paste here'!P46</f>
        <v>0</v>
      </c>
      <c r="E46" s="1">
        <f>'Paste here'!T46</f>
        <v>0</v>
      </c>
      <c r="F46" s="13">
        <f>'Paste here'!E46</f>
        <v>0</v>
      </c>
      <c r="G46" s="13">
        <f>'Paste here'!F46</f>
        <v>0</v>
      </c>
      <c r="H46" s="13">
        <f>'Paste here'!G46</f>
        <v>0</v>
      </c>
      <c r="I46" s="13">
        <f>'Paste here'!L46</f>
        <v>0</v>
      </c>
      <c r="J46" s="13">
        <f>'Paste here'!N46</f>
        <v>0</v>
      </c>
      <c r="K46" s="64" t="e">
        <f>IF(J46*VLOOKUP(H46,'Claim Amount'!$B$3:$J$24,2,FALSE)&lt;VLOOKUP(H46,'Claim Amount'!$B$3:$J$24,3,FALSE),VLOOKUP(H46,'Claim Amount'!$B$3:$J$24,3,FALSE),J46*VLOOKUP(H46,'Claim Amount'!$B$3:$J$24,2,FALSE))</f>
        <v>#N/A</v>
      </c>
      <c r="L46" s="13">
        <f>IF(I46="Regular Lab",VLOOKUP(F46,'Claim Amount'!$B$3:$J$13,2,FALSE),0)</f>
        <v>0</v>
      </c>
      <c r="M46" s="13">
        <f>IF(I46="Regular Lab",IF(VLOOKUP(External!E46,'Distance matrix'!$B$1:$C$310,2,FALSE)&lt;36,150,16*VLOOKUP(External!E46,'Distance matrix'!$B$1:$C$310,2,FALSE)),0)</f>
        <v>0</v>
      </c>
      <c r="N46" s="13" t="e">
        <f t="shared" si="0"/>
        <v>#N/A</v>
      </c>
      <c r="O46" s="61" t="e" cm="1">
        <f t="array" ref="O46">[1]!SPELLNUMBER(N46)</f>
        <v>#VALUE!</v>
      </c>
    </row>
    <row r="47" spans="1:15" ht="21" customHeight="1" x14ac:dyDescent="0.25">
      <c r="A47" s="13" t="s">
        <v>95</v>
      </c>
      <c r="B47" s="13" t="s">
        <v>112</v>
      </c>
      <c r="C47" s="13">
        <f>'Paste here'!O47</f>
        <v>0</v>
      </c>
      <c r="D47" s="13">
        <f>'Paste here'!P47</f>
        <v>0</v>
      </c>
      <c r="E47" s="1">
        <f>'Paste here'!T47</f>
        <v>0</v>
      </c>
      <c r="F47" s="13">
        <f>'Paste here'!E47</f>
        <v>0</v>
      </c>
      <c r="G47" s="13">
        <f>'Paste here'!F47</f>
        <v>0</v>
      </c>
      <c r="H47" s="13">
        <f>'Paste here'!G47</f>
        <v>0</v>
      </c>
      <c r="I47" s="13">
        <f>'Paste here'!L47</f>
        <v>0</v>
      </c>
      <c r="J47" s="13">
        <f>'Paste here'!N47</f>
        <v>0</v>
      </c>
      <c r="K47" s="64" t="e">
        <f>IF(J47*VLOOKUP(H47,'Claim Amount'!$B$3:$J$24,2,FALSE)&lt;VLOOKUP(H47,'Claim Amount'!$B$3:$J$24,3,FALSE),VLOOKUP(H47,'Claim Amount'!$B$3:$J$24,3,FALSE),J47*VLOOKUP(H47,'Claim Amount'!$B$3:$J$24,2,FALSE))</f>
        <v>#N/A</v>
      </c>
      <c r="L47" s="13">
        <f>IF(I47="Regular Lab",VLOOKUP(F47,'Claim Amount'!$B$3:$J$13,2,FALSE),0)</f>
        <v>0</v>
      </c>
      <c r="M47" s="13">
        <f>IF(I47="Regular Lab",IF(VLOOKUP(External!E47,'Distance matrix'!$B$1:$C$310,2,FALSE)&lt;36,150,16*VLOOKUP(External!E47,'Distance matrix'!$B$1:$C$310,2,FALSE)),0)</f>
        <v>0</v>
      </c>
      <c r="N47" s="13" t="e">
        <f t="shared" si="0"/>
        <v>#N/A</v>
      </c>
      <c r="O47" s="61" t="e" cm="1">
        <f t="array" ref="O47">[1]!SPELLNUMBER(N47)</f>
        <v>#VALUE!</v>
      </c>
    </row>
    <row r="48" spans="1:15" ht="21" customHeight="1" x14ac:dyDescent="0.25">
      <c r="A48" s="13" t="s">
        <v>96</v>
      </c>
      <c r="B48" s="13" t="s">
        <v>112</v>
      </c>
      <c r="C48" s="13">
        <f>'Paste here'!O48</f>
        <v>0</v>
      </c>
      <c r="D48" s="13">
        <f>'Paste here'!P48</f>
        <v>0</v>
      </c>
      <c r="E48" s="1">
        <f>'Paste here'!T48</f>
        <v>0</v>
      </c>
      <c r="F48" s="13">
        <f>'Paste here'!E48</f>
        <v>0</v>
      </c>
      <c r="G48" s="13">
        <f>'Paste here'!F48</f>
        <v>0</v>
      </c>
      <c r="H48" s="13">
        <f>'Paste here'!G48</f>
        <v>0</v>
      </c>
      <c r="I48" s="13">
        <f>'Paste here'!L48</f>
        <v>0</v>
      </c>
      <c r="J48" s="13">
        <f>'Paste here'!N48</f>
        <v>0</v>
      </c>
      <c r="K48" s="64" t="e">
        <f>IF(J48*VLOOKUP(H48,'Claim Amount'!$B$3:$J$24,2,FALSE)&lt;VLOOKUP(H48,'Claim Amount'!$B$3:$J$24,3,FALSE),VLOOKUP(H48,'Claim Amount'!$B$3:$J$24,3,FALSE),J48*VLOOKUP(H48,'Claim Amount'!$B$3:$J$24,2,FALSE))</f>
        <v>#N/A</v>
      </c>
      <c r="L48" s="13">
        <f>IF(I48="Regular Lab",VLOOKUP(F48,'Claim Amount'!$B$3:$J$13,2,FALSE),0)</f>
        <v>0</v>
      </c>
      <c r="M48" s="13">
        <f>IF(I48="Regular Lab",IF(VLOOKUP(External!E48,'Distance matrix'!$B$1:$C$310,2,FALSE)&lt;36,150,16*VLOOKUP(External!E48,'Distance matrix'!$B$1:$C$310,2,FALSE)),0)</f>
        <v>0</v>
      </c>
      <c r="N48" s="13" t="e">
        <f t="shared" si="0"/>
        <v>#N/A</v>
      </c>
      <c r="O48" s="61" t="e" cm="1">
        <f t="array" ref="O48">[1]!SPELLNUMBER(N48)</f>
        <v>#VALUE!</v>
      </c>
    </row>
    <row r="49" spans="1:15" ht="21" customHeight="1" x14ac:dyDescent="0.25">
      <c r="A49" s="13" t="s">
        <v>97</v>
      </c>
      <c r="B49" s="13" t="s">
        <v>112</v>
      </c>
      <c r="C49" s="13">
        <f>'Paste here'!O49</f>
        <v>0</v>
      </c>
      <c r="D49" s="13">
        <f>'Paste here'!P49</f>
        <v>0</v>
      </c>
      <c r="E49" s="1">
        <f>'Paste here'!T49</f>
        <v>0</v>
      </c>
      <c r="F49" s="13">
        <f>'Paste here'!E49</f>
        <v>0</v>
      </c>
      <c r="G49" s="13">
        <f>'Paste here'!F49</f>
        <v>0</v>
      </c>
      <c r="H49" s="13">
        <f>'Paste here'!G49</f>
        <v>0</v>
      </c>
      <c r="I49" s="13">
        <f>'Paste here'!L49</f>
        <v>0</v>
      </c>
      <c r="J49" s="13">
        <f>'Paste here'!N49</f>
        <v>0</v>
      </c>
      <c r="K49" s="64" t="e">
        <f>IF(J49*VLOOKUP(H49,'Claim Amount'!$B$3:$J$24,2,FALSE)&lt;VLOOKUP(H49,'Claim Amount'!$B$3:$J$24,3,FALSE),VLOOKUP(H49,'Claim Amount'!$B$3:$J$24,3,FALSE),J49*VLOOKUP(H49,'Claim Amount'!$B$3:$J$24,2,FALSE))</f>
        <v>#N/A</v>
      </c>
      <c r="L49" s="13">
        <f>IF(I49="Regular Lab",VLOOKUP(F49,'Claim Amount'!$B$3:$J$13,2,FALSE),0)</f>
        <v>0</v>
      </c>
      <c r="M49" s="13">
        <f>IF(I49="Regular Lab",IF(VLOOKUP(External!E49,'Distance matrix'!$B$1:$C$310,2,FALSE)&lt;36,150,16*VLOOKUP(External!E49,'Distance matrix'!$B$1:$C$310,2,FALSE)),0)</f>
        <v>0</v>
      </c>
      <c r="N49" s="13" t="e">
        <f t="shared" si="0"/>
        <v>#N/A</v>
      </c>
      <c r="O49" s="61" t="e" cm="1">
        <f t="array" ref="O49">[1]!SPELLNUMBER(N49)</f>
        <v>#VALUE!</v>
      </c>
    </row>
    <row r="50" spans="1:15" ht="21" customHeight="1" x14ac:dyDescent="0.25">
      <c r="A50" s="13" t="s">
        <v>98</v>
      </c>
      <c r="B50" s="13" t="s">
        <v>112</v>
      </c>
      <c r="C50" s="13">
        <f>'Paste here'!O50</f>
        <v>0</v>
      </c>
      <c r="D50" s="13">
        <f>'Paste here'!P50</f>
        <v>0</v>
      </c>
      <c r="E50" s="1">
        <f>'Paste here'!T50</f>
        <v>0</v>
      </c>
      <c r="F50" s="13">
        <f>'Paste here'!E50</f>
        <v>0</v>
      </c>
      <c r="G50" s="13">
        <f>'Paste here'!F50</f>
        <v>0</v>
      </c>
      <c r="H50" s="13">
        <f>'Paste here'!G50</f>
        <v>0</v>
      </c>
      <c r="I50" s="13">
        <f>'Paste here'!L50</f>
        <v>0</v>
      </c>
      <c r="J50" s="13">
        <f>'Paste here'!N50</f>
        <v>0</v>
      </c>
      <c r="K50" s="64" t="e">
        <f>IF(J50*VLOOKUP(H50,'Claim Amount'!$B$3:$J$24,2,FALSE)&lt;VLOOKUP(H50,'Claim Amount'!$B$3:$J$24,3,FALSE),VLOOKUP(H50,'Claim Amount'!$B$3:$J$24,3,FALSE),J50*VLOOKUP(H50,'Claim Amount'!$B$3:$J$24,2,FALSE))</f>
        <v>#N/A</v>
      </c>
      <c r="L50" s="13">
        <f>IF(I50="Regular Lab",VLOOKUP(F50,'Claim Amount'!$B$3:$J$13,2,FALSE),0)</f>
        <v>0</v>
      </c>
      <c r="M50" s="13">
        <f>IF(I50="Regular Lab",IF(VLOOKUP(External!E50,'Distance matrix'!$B$1:$C$310,2,FALSE)&lt;36,150,16*VLOOKUP(External!E50,'Distance matrix'!$B$1:$C$310,2,FALSE)),0)</f>
        <v>0</v>
      </c>
      <c r="N50" s="13" t="e">
        <f t="shared" si="0"/>
        <v>#N/A</v>
      </c>
      <c r="O50" s="61" t="e" cm="1">
        <f t="array" ref="O50">[1]!SPELLNUMBER(N50)</f>
        <v>#VALUE!</v>
      </c>
    </row>
    <row r="51" spans="1:15" ht="21" customHeight="1" x14ac:dyDescent="0.25">
      <c r="A51" s="13" t="s">
        <v>99</v>
      </c>
      <c r="B51" s="13" t="s">
        <v>112</v>
      </c>
      <c r="C51" s="13">
        <f>'Paste here'!O51</f>
        <v>0</v>
      </c>
      <c r="D51" s="13">
        <f>'Paste here'!P51</f>
        <v>0</v>
      </c>
      <c r="E51" s="1">
        <f>'Paste here'!T51</f>
        <v>0</v>
      </c>
      <c r="F51" s="13">
        <f>'Paste here'!E51</f>
        <v>0</v>
      </c>
      <c r="G51" s="13">
        <f>'Paste here'!F51</f>
        <v>0</v>
      </c>
      <c r="H51" s="13">
        <f>'Paste here'!G51</f>
        <v>0</v>
      </c>
      <c r="I51" s="13">
        <f>'Paste here'!L51</f>
        <v>0</v>
      </c>
      <c r="J51" s="13">
        <f>'Paste here'!N51</f>
        <v>0</v>
      </c>
      <c r="K51" s="64" t="e">
        <f>IF(J51*VLOOKUP(H51,'Claim Amount'!$B$3:$J$24,2,FALSE)&lt;VLOOKUP(H51,'Claim Amount'!$B$3:$J$24,3,FALSE),VLOOKUP(H51,'Claim Amount'!$B$3:$J$24,3,FALSE),J51*VLOOKUP(H51,'Claim Amount'!$B$3:$J$24,2,FALSE))</f>
        <v>#N/A</v>
      </c>
      <c r="L51" s="13">
        <f>IF(I51="Regular Lab",VLOOKUP(F51,'Claim Amount'!$B$3:$J$13,2,FALSE),0)</f>
        <v>0</v>
      </c>
      <c r="M51" s="13">
        <f>IF(I51="Regular Lab",IF(VLOOKUP(External!E51,'Distance matrix'!$B$1:$C$310,2,FALSE)&lt;36,150,16*VLOOKUP(External!E51,'Distance matrix'!$B$1:$C$310,2,FALSE)),0)</f>
        <v>0</v>
      </c>
      <c r="N51" s="13" t="e">
        <f t="shared" si="0"/>
        <v>#N/A</v>
      </c>
      <c r="O51" s="61" t="e" cm="1">
        <f t="array" ref="O51">[1]!SPELLNUMBER(N51)</f>
        <v>#VALUE!</v>
      </c>
    </row>
    <row r="52" spans="1:15" ht="21" customHeight="1" x14ac:dyDescent="0.25">
      <c r="A52" s="13" t="s">
        <v>100</v>
      </c>
      <c r="B52" s="13" t="s">
        <v>112</v>
      </c>
      <c r="C52" s="13">
        <f>'Paste here'!O52</f>
        <v>0</v>
      </c>
      <c r="D52" s="13">
        <f>'Paste here'!P52</f>
        <v>0</v>
      </c>
      <c r="E52" s="1">
        <f>'Paste here'!T52</f>
        <v>0</v>
      </c>
      <c r="F52" s="13">
        <f>'Paste here'!E52</f>
        <v>0</v>
      </c>
      <c r="G52" s="13">
        <f>'Paste here'!F52</f>
        <v>0</v>
      </c>
      <c r="H52" s="13">
        <f>'Paste here'!G52</f>
        <v>0</v>
      </c>
      <c r="I52" s="13">
        <f>'Paste here'!L52</f>
        <v>0</v>
      </c>
      <c r="J52" s="13">
        <f>'Paste here'!N52</f>
        <v>0</v>
      </c>
      <c r="K52" s="64" t="e">
        <f>IF(J52*VLOOKUP(H52,'Claim Amount'!$B$3:$J$24,2,FALSE)&lt;VLOOKUP(H52,'Claim Amount'!$B$3:$J$24,3,FALSE),VLOOKUP(H52,'Claim Amount'!$B$3:$J$24,3,FALSE),J52*VLOOKUP(H52,'Claim Amount'!$B$3:$J$24,2,FALSE))</f>
        <v>#N/A</v>
      </c>
      <c r="L52" s="13">
        <f>IF(I52="Regular Lab",VLOOKUP(F52,'Claim Amount'!$B$3:$J$13,2,FALSE),0)</f>
        <v>0</v>
      </c>
      <c r="M52" s="13">
        <f>IF(I52="Regular Lab",IF(VLOOKUP(External!E52,'Distance matrix'!$B$1:$C$310,2,FALSE)&lt;36,150,16*VLOOKUP(External!E52,'Distance matrix'!$B$1:$C$310,2,FALSE)),0)</f>
        <v>0</v>
      </c>
      <c r="N52" s="13" t="e">
        <f t="shared" si="0"/>
        <v>#N/A</v>
      </c>
      <c r="O52" s="61" t="e" cm="1">
        <f t="array" ref="O52">[1]!SPELLNUMBER(N52)</f>
        <v>#VALUE!</v>
      </c>
    </row>
    <row r="53" spans="1:15" ht="21" customHeight="1" x14ac:dyDescent="0.25">
      <c r="A53" s="13" t="s">
        <v>101</v>
      </c>
      <c r="B53" s="13" t="s">
        <v>112</v>
      </c>
      <c r="C53" s="13">
        <f>'Paste here'!O53</f>
        <v>0</v>
      </c>
      <c r="D53" s="13">
        <f>'Paste here'!P53</f>
        <v>0</v>
      </c>
      <c r="E53" s="1">
        <f>'Paste here'!T53</f>
        <v>0</v>
      </c>
      <c r="F53" s="13">
        <f>'Paste here'!E53</f>
        <v>0</v>
      </c>
      <c r="G53" s="13">
        <f>'Paste here'!F53</f>
        <v>0</v>
      </c>
      <c r="H53" s="13">
        <f>'Paste here'!G53</f>
        <v>0</v>
      </c>
      <c r="I53" s="13">
        <f>'Paste here'!L53</f>
        <v>0</v>
      </c>
      <c r="J53" s="13">
        <f>'Paste here'!N53</f>
        <v>0</v>
      </c>
      <c r="K53" s="64" t="e">
        <f>IF(J53*VLOOKUP(H53,'Claim Amount'!$B$3:$J$24,2,FALSE)&lt;VLOOKUP(H53,'Claim Amount'!$B$3:$J$24,3,FALSE),VLOOKUP(H53,'Claim Amount'!$B$3:$J$24,3,FALSE),J53*VLOOKUP(H53,'Claim Amount'!$B$3:$J$24,2,FALSE))</f>
        <v>#N/A</v>
      </c>
      <c r="L53" s="13">
        <f>IF(I53="Regular Lab",VLOOKUP(F53,'Claim Amount'!$B$3:$J$13,2,FALSE),0)</f>
        <v>0</v>
      </c>
      <c r="M53" s="13">
        <f>IF(I53="Regular Lab",IF(VLOOKUP(External!E53,'Distance matrix'!$B$1:$C$310,2,FALSE)&lt;36,150,16*VLOOKUP(External!E53,'Distance matrix'!$B$1:$C$310,2,FALSE)),0)</f>
        <v>0</v>
      </c>
      <c r="N53" s="13" t="e">
        <f t="shared" si="0"/>
        <v>#N/A</v>
      </c>
      <c r="O53" s="61" t="e" cm="1">
        <f t="array" ref="O53">[1]!SPELLNUMBER(N53)</f>
        <v>#VALUE!</v>
      </c>
    </row>
    <row r="54" spans="1:15" ht="21" customHeight="1" x14ac:dyDescent="0.25">
      <c r="A54" s="13" t="s">
        <v>102</v>
      </c>
      <c r="B54" s="13" t="s">
        <v>112</v>
      </c>
      <c r="C54" s="13">
        <f>'Paste here'!O54</f>
        <v>0</v>
      </c>
      <c r="D54" s="13">
        <f>'Paste here'!P54</f>
        <v>0</v>
      </c>
      <c r="E54" s="1">
        <f>'Paste here'!T54</f>
        <v>0</v>
      </c>
      <c r="F54" s="13">
        <f>'Paste here'!E54</f>
        <v>0</v>
      </c>
      <c r="G54" s="13">
        <f>'Paste here'!F54</f>
        <v>0</v>
      </c>
      <c r="H54" s="13">
        <f>'Paste here'!G54</f>
        <v>0</v>
      </c>
      <c r="I54" s="13">
        <f>'Paste here'!L54</f>
        <v>0</v>
      </c>
      <c r="J54" s="13">
        <f>'Paste here'!N54</f>
        <v>0</v>
      </c>
      <c r="K54" s="64" t="e">
        <f>IF(J54*VLOOKUP(H54,'Claim Amount'!$B$3:$J$24,2,FALSE)&lt;VLOOKUP(H54,'Claim Amount'!$B$3:$J$24,3,FALSE),VLOOKUP(H54,'Claim Amount'!$B$3:$J$24,3,FALSE),J54*VLOOKUP(H54,'Claim Amount'!$B$3:$J$24,2,FALSE))</f>
        <v>#N/A</v>
      </c>
      <c r="L54" s="13">
        <f>IF(I54="Regular Lab",VLOOKUP(F54,'Claim Amount'!$B$3:$J$13,2,FALSE),0)</f>
        <v>0</v>
      </c>
      <c r="M54" s="13">
        <f>IF(I54="Regular Lab",IF(VLOOKUP(External!E54,'Distance matrix'!$B$1:$C$310,2,FALSE)&lt;36,150,16*VLOOKUP(External!E54,'Distance matrix'!$B$1:$C$310,2,FALSE)),0)</f>
        <v>0</v>
      </c>
      <c r="N54" s="13" t="e">
        <f t="shared" si="0"/>
        <v>#N/A</v>
      </c>
      <c r="O54" s="61" t="e" cm="1">
        <f t="array" ref="O54">[1]!SPELLNUMBER(N54)</f>
        <v>#VALUE!</v>
      </c>
    </row>
    <row r="55" spans="1:15" ht="21" customHeight="1" x14ac:dyDescent="0.25">
      <c r="A55" s="13" t="s">
        <v>103</v>
      </c>
      <c r="B55" s="13" t="s">
        <v>112</v>
      </c>
      <c r="C55" s="13">
        <f>'Paste here'!O55</f>
        <v>0</v>
      </c>
      <c r="D55" s="13">
        <f>'Paste here'!P55</f>
        <v>0</v>
      </c>
      <c r="E55" s="1">
        <f>'Paste here'!T55</f>
        <v>0</v>
      </c>
      <c r="F55" s="13">
        <f>'Paste here'!E55</f>
        <v>0</v>
      </c>
      <c r="G55" s="13">
        <f>'Paste here'!F55</f>
        <v>0</v>
      </c>
      <c r="H55" s="13">
        <f>'Paste here'!G55</f>
        <v>0</v>
      </c>
      <c r="I55" s="13">
        <f>'Paste here'!L55</f>
        <v>0</v>
      </c>
      <c r="J55" s="13">
        <f>'Paste here'!N55</f>
        <v>0</v>
      </c>
      <c r="K55" s="64" t="e">
        <f>IF(J55*VLOOKUP(H55,'Claim Amount'!$B$3:$J$24,2,FALSE)&lt;VLOOKUP(H55,'Claim Amount'!$B$3:$J$24,3,FALSE),VLOOKUP(H55,'Claim Amount'!$B$3:$J$24,3,FALSE),J55*VLOOKUP(H55,'Claim Amount'!$B$3:$J$24,2,FALSE))</f>
        <v>#N/A</v>
      </c>
      <c r="L55" s="13">
        <f>IF(I55="Regular Lab",VLOOKUP(F55,'Claim Amount'!$B$3:$J$13,2,FALSE),0)</f>
        <v>0</v>
      </c>
      <c r="M55" s="13">
        <f>IF(I55="Regular Lab",IF(VLOOKUP(External!E55,'Distance matrix'!$B$1:$C$310,2,FALSE)&lt;36,150,16*VLOOKUP(External!E55,'Distance matrix'!$B$1:$C$310,2,FALSE)),0)</f>
        <v>0</v>
      </c>
      <c r="N55" s="13" t="e">
        <f t="shared" si="0"/>
        <v>#N/A</v>
      </c>
      <c r="O55" s="61" t="e" cm="1">
        <f t="array" ref="O55">[1]!SPELLNUMBER(N55)</f>
        <v>#VALUE!</v>
      </c>
    </row>
    <row r="56" spans="1:15" ht="21" customHeight="1" x14ac:dyDescent="0.25">
      <c r="A56" s="13" t="s">
        <v>104</v>
      </c>
      <c r="B56" s="13" t="s">
        <v>112</v>
      </c>
      <c r="C56" s="13">
        <f>'Paste here'!O56</f>
        <v>0</v>
      </c>
      <c r="D56" s="13">
        <f>'Paste here'!P56</f>
        <v>0</v>
      </c>
      <c r="E56" s="1">
        <f>'Paste here'!T56</f>
        <v>0</v>
      </c>
      <c r="F56" s="13">
        <f>'Paste here'!E56</f>
        <v>0</v>
      </c>
      <c r="G56" s="13">
        <f>'Paste here'!F56</f>
        <v>0</v>
      </c>
      <c r="H56" s="13">
        <f>'Paste here'!G56</f>
        <v>0</v>
      </c>
      <c r="I56" s="13">
        <f>'Paste here'!L56</f>
        <v>0</v>
      </c>
      <c r="J56" s="13">
        <f>'Paste here'!N56</f>
        <v>0</v>
      </c>
      <c r="K56" s="64" t="e">
        <f>IF(J56*VLOOKUP(H56,'Claim Amount'!$B$3:$J$24,2,FALSE)&lt;VLOOKUP(H56,'Claim Amount'!$B$3:$J$24,3,FALSE),VLOOKUP(H56,'Claim Amount'!$B$3:$J$24,3,FALSE),J56*VLOOKUP(H56,'Claim Amount'!$B$3:$J$24,2,FALSE))</f>
        <v>#N/A</v>
      </c>
      <c r="L56" s="13">
        <f>IF(I56="Regular Lab",VLOOKUP(F56,'Claim Amount'!$B$3:$J$13,2,FALSE),0)</f>
        <v>0</v>
      </c>
      <c r="M56" s="13">
        <f>IF(I56="Regular Lab",IF(VLOOKUP(External!E56,'Distance matrix'!$B$1:$C$310,2,FALSE)&lt;36,150,16*VLOOKUP(External!E56,'Distance matrix'!$B$1:$C$310,2,FALSE)),0)</f>
        <v>0</v>
      </c>
      <c r="N56" s="13" t="e">
        <f t="shared" si="0"/>
        <v>#N/A</v>
      </c>
      <c r="O56" s="61" t="e" cm="1">
        <f t="array" ref="O56">[1]!SPELLNUMBER(N56)</f>
        <v>#VALUE!</v>
      </c>
    </row>
    <row r="57" spans="1:15" ht="21" customHeight="1" x14ac:dyDescent="0.25">
      <c r="A57" s="13" t="s">
        <v>105</v>
      </c>
      <c r="B57" s="13" t="s">
        <v>112</v>
      </c>
      <c r="C57" s="13">
        <f>'Paste here'!O57</f>
        <v>0</v>
      </c>
      <c r="D57" s="13">
        <f>'Paste here'!P57</f>
        <v>0</v>
      </c>
      <c r="E57" s="1">
        <f>'Paste here'!T57</f>
        <v>0</v>
      </c>
      <c r="F57" s="13">
        <f>'Paste here'!E57</f>
        <v>0</v>
      </c>
      <c r="G57" s="13">
        <f>'Paste here'!F57</f>
        <v>0</v>
      </c>
      <c r="H57" s="13">
        <f>'Paste here'!G57</f>
        <v>0</v>
      </c>
      <c r="I57" s="13">
        <f>'Paste here'!L57</f>
        <v>0</v>
      </c>
      <c r="J57" s="13">
        <f>'Paste here'!N57</f>
        <v>0</v>
      </c>
      <c r="K57" s="64" t="e">
        <f>IF(J57*VLOOKUP(H57,'Claim Amount'!$B$3:$J$24,2,FALSE)&lt;VLOOKUP(H57,'Claim Amount'!$B$3:$J$24,3,FALSE),VLOOKUP(H57,'Claim Amount'!$B$3:$J$24,3,FALSE),J57*VLOOKUP(H57,'Claim Amount'!$B$3:$J$24,2,FALSE))</f>
        <v>#N/A</v>
      </c>
      <c r="L57" s="13">
        <f>IF(I57="Regular Lab",VLOOKUP(F57,'Claim Amount'!$B$3:$J$13,2,FALSE),0)</f>
        <v>0</v>
      </c>
      <c r="M57" s="13">
        <f>IF(I57="Regular Lab",IF(VLOOKUP(External!E57,'Distance matrix'!$B$1:$C$310,2,FALSE)&lt;36,150,16*VLOOKUP(External!E57,'Distance matrix'!$B$1:$C$310,2,FALSE)),0)</f>
        <v>0</v>
      </c>
      <c r="N57" s="13" t="e">
        <f t="shared" si="0"/>
        <v>#N/A</v>
      </c>
      <c r="O57" s="61" t="e" cm="1">
        <f t="array" ref="O57">[1]!SPELLNUMBER(N57)</f>
        <v>#VALUE!</v>
      </c>
    </row>
    <row r="58" spans="1:15" ht="21" customHeight="1" x14ac:dyDescent="0.25">
      <c r="A58" s="13" t="s">
        <v>106</v>
      </c>
      <c r="B58" s="13" t="s">
        <v>112</v>
      </c>
      <c r="C58" s="13">
        <f>'Paste here'!O58</f>
        <v>0</v>
      </c>
      <c r="D58" s="13">
        <f>'Paste here'!P58</f>
        <v>0</v>
      </c>
      <c r="E58" s="1">
        <f>'Paste here'!T58</f>
        <v>0</v>
      </c>
      <c r="F58" s="13">
        <f>'Paste here'!E58</f>
        <v>0</v>
      </c>
      <c r="G58" s="13">
        <f>'Paste here'!F58</f>
        <v>0</v>
      </c>
      <c r="H58" s="13">
        <f>'Paste here'!G58</f>
        <v>0</v>
      </c>
      <c r="I58" s="13">
        <f>'Paste here'!L58</f>
        <v>0</v>
      </c>
      <c r="J58" s="13">
        <f>'Paste here'!N58</f>
        <v>0</v>
      </c>
      <c r="K58" s="64" t="e">
        <f>IF(J58*VLOOKUP(H58,'Claim Amount'!$B$3:$J$24,2,FALSE)&lt;VLOOKUP(H58,'Claim Amount'!$B$3:$J$24,3,FALSE),VLOOKUP(H58,'Claim Amount'!$B$3:$J$24,3,FALSE),J58*VLOOKUP(H58,'Claim Amount'!$B$3:$J$24,2,FALSE))</f>
        <v>#N/A</v>
      </c>
      <c r="L58" s="13">
        <f>IF(I58="Regular Lab",VLOOKUP(F58,'Claim Amount'!$B$3:$J$13,2,FALSE),0)</f>
        <v>0</v>
      </c>
      <c r="M58" s="13">
        <f>IF(I58="Regular Lab",IF(VLOOKUP(External!E58,'Distance matrix'!$B$1:$C$310,2,FALSE)&lt;36,150,16*VLOOKUP(External!E58,'Distance matrix'!$B$1:$C$310,2,FALSE)),0)</f>
        <v>0</v>
      </c>
      <c r="N58" s="13" t="e">
        <f t="shared" si="0"/>
        <v>#N/A</v>
      </c>
      <c r="O58" s="61" t="e" cm="1">
        <f t="array" ref="O58">[1]!SPELLNUMBER(N58)</f>
        <v>#VALUE!</v>
      </c>
    </row>
    <row r="59" spans="1:15" ht="21" customHeight="1" x14ac:dyDescent="0.25">
      <c r="A59" s="13" t="s">
        <v>107</v>
      </c>
      <c r="B59" s="13" t="s">
        <v>112</v>
      </c>
      <c r="C59" s="13">
        <f>'Paste here'!O59</f>
        <v>0</v>
      </c>
      <c r="D59" s="13">
        <f>'Paste here'!P59</f>
        <v>0</v>
      </c>
      <c r="E59" s="1">
        <f>'Paste here'!T59</f>
        <v>0</v>
      </c>
      <c r="F59" s="13">
        <f>'Paste here'!E59</f>
        <v>0</v>
      </c>
      <c r="G59" s="13">
        <f>'Paste here'!F59</f>
        <v>0</v>
      </c>
      <c r="H59" s="13">
        <f>'Paste here'!G59</f>
        <v>0</v>
      </c>
      <c r="I59" s="13">
        <f>'Paste here'!L59</f>
        <v>0</v>
      </c>
      <c r="J59" s="13">
        <f>'Paste here'!N59</f>
        <v>0</v>
      </c>
      <c r="K59" s="64" t="e">
        <f>IF(J59*VLOOKUP(H59,'Claim Amount'!$B$3:$J$24,2,FALSE)&lt;VLOOKUP(H59,'Claim Amount'!$B$3:$J$24,3,FALSE),VLOOKUP(H59,'Claim Amount'!$B$3:$J$24,3,FALSE),J59*VLOOKUP(H59,'Claim Amount'!$B$3:$J$24,2,FALSE))</f>
        <v>#N/A</v>
      </c>
      <c r="L59" s="13">
        <f>IF(I59="Regular Lab",VLOOKUP(F59,'Claim Amount'!$B$3:$J$13,2,FALSE),0)</f>
        <v>0</v>
      </c>
      <c r="M59" s="13">
        <f>IF(I59="Regular Lab",IF(VLOOKUP(External!E59,'Distance matrix'!$B$1:$C$310,2,FALSE)&lt;36,150,16*VLOOKUP(External!E59,'Distance matrix'!$B$1:$C$310,2,FALSE)),0)</f>
        <v>0</v>
      </c>
      <c r="N59" s="13" t="e">
        <f t="shared" si="0"/>
        <v>#N/A</v>
      </c>
      <c r="O59" s="61" t="e" cm="1">
        <f t="array" ref="O59">[1]!SPELLNUMBER(N59)</f>
        <v>#VALUE!</v>
      </c>
    </row>
    <row r="60" spans="1:15" ht="21" customHeight="1" x14ac:dyDescent="0.25">
      <c r="A60" s="13" t="s">
        <v>108</v>
      </c>
      <c r="B60" s="13" t="s">
        <v>112</v>
      </c>
      <c r="C60" s="13">
        <f>'Paste here'!O60</f>
        <v>0</v>
      </c>
      <c r="D60" s="13">
        <f>'Paste here'!P60</f>
        <v>0</v>
      </c>
      <c r="E60" s="1">
        <f>'Paste here'!T60</f>
        <v>0</v>
      </c>
      <c r="F60" s="13">
        <f>'Paste here'!E60</f>
        <v>0</v>
      </c>
      <c r="G60" s="13">
        <f>'Paste here'!F60</f>
        <v>0</v>
      </c>
      <c r="H60" s="13">
        <f>'Paste here'!G60</f>
        <v>0</v>
      </c>
      <c r="I60" s="13">
        <f>'Paste here'!L60</f>
        <v>0</v>
      </c>
      <c r="J60" s="13">
        <f>'Paste here'!N60</f>
        <v>0</v>
      </c>
      <c r="K60" s="64" t="e">
        <f>IF(J60*VLOOKUP(H60,'Claim Amount'!$B$3:$J$24,2,FALSE)&lt;VLOOKUP(H60,'Claim Amount'!$B$3:$J$24,3,FALSE),VLOOKUP(H60,'Claim Amount'!$B$3:$J$24,3,FALSE),J60*VLOOKUP(H60,'Claim Amount'!$B$3:$J$24,2,FALSE))</f>
        <v>#N/A</v>
      </c>
      <c r="L60" s="13">
        <f>IF(I60="Regular Lab",VLOOKUP(F60,'Claim Amount'!$B$3:$J$13,2,FALSE),0)</f>
        <v>0</v>
      </c>
      <c r="M60" s="13">
        <f>IF(I60="Regular Lab",IF(VLOOKUP(External!E60,'Distance matrix'!$B$1:$C$310,2,FALSE)&lt;36,150,16*VLOOKUP(External!E60,'Distance matrix'!$B$1:$C$310,2,FALSE)),0)</f>
        <v>0</v>
      </c>
      <c r="N60" s="13" t="e">
        <f t="shared" si="0"/>
        <v>#N/A</v>
      </c>
      <c r="O60" s="61" t="e" cm="1">
        <f t="array" ref="O60">[1]!SPELLNUMBER(N60)</f>
        <v>#VALUE!</v>
      </c>
    </row>
    <row r="61" spans="1:15" ht="21" customHeight="1" x14ac:dyDescent="0.25">
      <c r="A61" s="13" t="s">
        <v>203</v>
      </c>
      <c r="B61" s="13" t="s">
        <v>112</v>
      </c>
      <c r="C61" s="13">
        <f>'Paste here'!O61</f>
        <v>0</v>
      </c>
      <c r="D61" s="13">
        <f>'Paste here'!P61</f>
        <v>0</v>
      </c>
      <c r="E61" s="1">
        <f>'Paste here'!T61</f>
        <v>0</v>
      </c>
      <c r="F61" s="13">
        <f>'Paste here'!E61</f>
        <v>0</v>
      </c>
      <c r="G61" s="13">
        <f>'Paste here'!F61</f>
        <v>0</v>
      </c>
      <c r="H61" s="13">
        <f>'Paste here'!G61</f>
        <v>0</v>
      </c>
      <c r="I61" s="13">
        <f>'Paste here'!L61</f>
        <v>0</v>
      </c>
      <c r="J61" s="13">
        <f>'Paste here'!N61</f>
        <v>0</v>
      </c>
      <c r="K61" s="64" t="e">
        <f>IF(J61*VLOOKUP(H61,'Claim Amount'!$B$3:$J$24,2,FALSE)&lt;VLOOKUP(H61,'Claim Amount'!$B$3:$J$24,3,FALSE),VLOOKUP(H61,'Claim Amount'!$B$3:$J$24,3,FALSE),J61*VLOOKUP(H61,'Claim Amount'!$B$3:$J$24,2,FALSE))</f>
        <v>#N/A</v>
      </c>
      <c r="L61" s="13">
        <f>IF(I61="Regular Lab",VLOOKUP(F61,'Claim Amount'!$B$3:$J$13,2,FALSE),0)</f>
        <v>0</v>
      </c>
      <c r="M61" s="13">
        <f>IF(I61="Regular Lab",IF(VLOOKUP(External!E61,'Distance matrix'!$B$1:$C$310,2,FALSE)&lt;36,150,16*VLOOKUP(External!E61,'Distance matrix'!$B$1:$C$310,2,FALSE)),0)</f>
        <v>0</v>
      </c>
      <c r="N61" s="13" t="e">
        <f t="shared" si="0"/>
        <v>#N/A</v>
      </c>
      <c r="O61" s="61" t="e" cm="1">
        <f t="array" ref="O61">[1]!SPELLNUMBER(N61)</f>
        <v>#VALUE!</v>
      </c>
    </row>
    <row r="62" spans="1:15" ht="21" customHeight="1" x14ac:dyDescent="0.25">
      <c r="A62" s="13" t="s">
        <v>204</v>
      </c>
      <c r="B62" s="13" t="s">
        <v>112</v>
      </c>
      <c r="C62" s="13">
        <f>'Paste here'!O62</f>
        <v>0</v>
      </c>
      <c r="D62" s="13">
        <f>'Paste here'!P62</f>
        <v>0</v>
      </c>
      <c r="E62" s="1">
        <f>'Paste here'!T62</f>
        <v>0</v>
      </c>
      <c r="F62" s="13">
        <f>'Paste here'!E62</f>
        <v>0</v>
      </c>
      <c r="G62" s="13">
        <f>'Paste here'!F62</f>
        <v>0</v>
      </c>
      <c r="H62" s="13">
        <f>'Paste here'!G62</f>
        <v>0</v>
      </c>
      <c r="I62" s="13">
        <f>'Paste here'!L62</f>
        <v>0</v>
      </c>
      <c r="J62" s="13">
        <f>'Paste here'!N62</f>
        <v>0</v>
      </c>
      <c r="K62" s="64" t="e">
        <f>IF(J62*VLOOKUP(H62,'Claim Amount'!$B$3:$J$24,2,FALSE)&lt;VLOOKUP(H62,'Claim Amount'!$B$3:$J$24,3,FALSE),VLOOKUP(H62,'Claim Amount'!$B$3:$J$24,3,FALSE),J62*VLOOKUP(H62,'Claim Amount'!$B$3:$J$24,2,FALSE))</f>
        <v>#N/A</v>
      </c>
      <c r="L62" s="13">
        <f>IF(I62="Regular Lab",VLOOKUP(F62,'Claim Amount'!$B$3:$J$13,2,FALSE),0)</f>
        <v>0</v>
      </c>
      <c r="M62" s="13">
        <f>IF(I62="Regular Lab",IF(VLOOKUP(External!E62,'Distance matrix'!$B$1:$C$310,2,FALSE)&lt;36,150,16*VLOOKUP(External!E62,'Distance matrix'!$B$1:$C$310,2,FALSE)),0)</f>
        <v>0</v>
      </c>
      <c r="N62" s="13" t="e">
        <f t="shared" si="0"/>
        <v>#N/A</v>
      </c>
      <c r="O62" s="61" t="e" cm="1">
        <f t="array" ref="O62">[1]!SPELLNUMBER(N62)</f>
        <v>#VALUE!</v>
      </c>
    </row>
    <row r="63" spans="1:15" ht="21" customHeight="1" x14ac:dyDescent="0.25">
      <c r="A63" s="13" t="s">
        <v>205</v>
      </c>
      <c r="B63" s="13" t="s">
        <v>112</v>
      </c>
      <c r="C63" s="13">
        <f>'Paste here'!O63</f>
        <v>0</v>
      </c>
      <c r="D63" s="13">
        <f>'Paste here'!P63</f>
        <v>0</v>
      </c>
      <c r="E63" s="1">
        <f>'Paste here'!T63</f>
        <v>0</v>
      </c>
      <c r="F63" s="13">
        <f>'Paste here'!E63</f>
        <v>0</v>
      </c>
      <c r="G63" s="13">
        <f>'Paste here'!F63</f>
        <v>0</v>
      </c>
      <c r="H63" s="13">
        <f>'Paste here'!G63</f>
        <v>0</v>
      </c>
      <c r="I63" s="13">
        <f>'Paste here'!L63</f>
        <v>0</v>
      </c>
      <c r="J63" s="13">
        <f>'Paste here'!N63</f>
        <v>0</v>
      </c>
      <c r="K63" s="64" t="e">
        <f>IF(J63*VLOOKUP(H63,'Claim Amount'!$B$3:$J$24,2,FALSE)&lt;VLOOKUP(H63,'Claim Amount'!$B$3:$J$24,3,FALSE),VLOOKUP(H63,'Claim Amount'!$B$3:$J$24,3,FALSE),J63*VLOOKUP(H63,'Claim Amount'!$B$3:$J$24,2,FALSE))</f>
        <v>#N/A</v>
      </c>
      <c r="L63" s="13">
        <f>IF(I63="Regular Lab",VLOOKUP(F63,'Claim Amount'!$B$3:$J$13,2,FALSE),0)</f>
        <v>0</v>
      </c>
      <c r="M63" s="13">
        <f>IF(I63="Regular Lab",IF(VLOOKUP(External!E63,'Distance matrix'!$B$1:$C$310,2,FALSE)&lt;36,150,16*VLOOKUP(External!E63,'Distance matrix'!$B$1:$C$310,2,FALSE)),0)</f>
        <v>0</v>
      </c>
      <c r="N63" s="13" t="e">
        <f t="shared" si="0"/>
        <v>#N/A</v>
      </c>
      <c r="O63" s="61" t="e" cm="1">
        <f t="array" ref="O63">[1]!SPELLNUMBER(N63)</f>
        <v>#VALUE!</v>
      </c>
    </row>
    <row r="64" spans="1:15" ht="21" customHeight="1" x14ac:dyDescent="0.25">
      <c r="A64" s="13" t="s">
        <v>206</v>
      </c>
      <c r="B64" s="13" t="s">
        <v>112</v>
      </c>
      <c r="C64" s="13">
        <f>'Paste here'!O64</f>
        <v>0</v>
      </c>
      <c r="D64" s="13">
        <f>'Paste here'!P64</f>
        <v>0</v>
      </c>
      <c r="E64" s="1">
        <f>'Paste here'!T64</f>
        <v>0</v>
      </c>
      <c r="F64" s="13">
        <f>'Paste here'!E64</f>
        <v>0</v>
      </c>
      <c r="G64" s="13">
        <f>'Paste here'!F64</f>
        <v>0</v>
      </c>
      <c r="H64" s="13">
        <f>'Paste here'!G64</f>
        <v>0</v>
      </c>
      <c r="I64" s="13">
        <f>'Paste here'!L64</f>
        <v>0</v>
      </c>
      <c r="J64" s="13">
        <f>'Paste here'!N64</f>
        <v>0</v>
      </c>
      <c r="K64" s="64" t="e">
        <f>IF(J64*VLOOKUP(H64,'Claim Amount'!$B$3:$J$24,2,FALSE)&lt;VLOOKUP(H64,'Claim Amount'!$B$3:$J$24,3,FALSE),VLOOKUP(H64,'Claim Amount'!$B$3:$J$24,3,FALSE),J64*VLOOKUP(H64,'Claim Amount'!$B$3:$J$24,2,FALSE))</f>
        <v>#N/A</v>
      </c>
      <c r="L64" s="13">
        <f>IF(I64="Regular Lab",VLOOKUP(F64,'Claim Amount'!$B$3:$J$13,2,FALSE),0)</f>
        <v>0</v>
      </c>
      <c r="M64" s="13">
        <f>IF(I64="Regular Lab",IF(VLOOKUP(External!E64,'Distance matrix'!$B$1:$C$310,2,FALSE)&lt;36,150,16*VLOOKUP(External!E64,'Distance matrix'!$B$1:$C$310,2,FALSE)),0)</f>
        <v>0</v>
      </c>
      <c r="N64" s="13" t="e">
        <f t="shared" si="0"/>
        <v>#N/A</v>
      </c>
      <c r="O64" s="61" t="e" cm="1">
        <f t="array" ref="O64">[1]!SPELLNUMBER(N64)</f>
        <v>#VALUE!</v>
      </c>
    </row>
    <row r="65" spans="1:15" ht="21" customHeight="1" x14ac:dyDescent="0.25">
      <c r="A65" s="13" t="s">
        <v>207</v>
      </c>
      <c r="B65" s="13" t="s">
        <v>112</v>
      </c>
      <c r="C65" s="13">
        <f>'Paste here'!O65</f>
        <v>0</v>
      </c>
      <c r="D65" s="13">
        <f>'Paste here'!P65</f>
        <v>0</v>
      </c>
      <c r="E65" s="1">
        <f>'Paste here'!T65</f>
        <v>0</v>
      </c>
      <c r="F65" s="13">
        <f>'Paste here'!E65</f>
        <v>0</v>
      </c>
      <c r="G65" s="13">
        <f>'Paste here'!F65</f>
        <v>0</v>
      </c>
      <c r="H65" s="13">
        <f>'Paste here'!G65</f>
        <v>0</v>
      </c>
      <c r="I65" s="13">
        <f>'Paste here'!L65</f>
        <v>0</v>
      </c>
      <c r="J65" s="13">
        <f>'Paste here'!N65</f>
        <v>0</v>
      </c>
      <c r="K65" s="64" t="e">
        <f>IF(J65*VLOOKUP(H65,'Claim Amount'!$B$3:$J$24,2,FALSE)&lt;VLOOKUP(H65,'Claim Amount'!$B$3:$J$24,3,FALSE),VLOOKUP(H65,'Claim Amount'!$B$3:$J$24,3,FALSE),J65*VLOOKUP(H65,'Claim Amount'!$B$3:$J$24,2,FALSE))</f>
        <v>#N/A</v>
      </c>
      <c r="L65" s="13">
        <f>IF(I65="Regular Lab",VLOOKUP(F65,'Claim Amount'!$B$3:$J$13,2,FALSE),0)</f>
        <v>0</v>
      </c>
      <c r="M65" s="13">
        <f>IF(I65="Regular Lab",IF(VLOOKUP(External!E65,'Distance matrix'!$B$1:$C$310,2,FALSE)&lt;36,150,16*VLOOKUP(External!E65,'Distance matrix'!$B$1:$C$310,2,FALSE)),0)</f>
        <v>0</v>
      </c>
      <c r="N65" s="13" t="e">
        <f t="shared" si="0"/>
        <v>#N/A</v>
      </c>
      <c r="O65" s="61" t="e" cm="1">
        <f t="array" ref="O65">[1]!SPELLNUMBER(N65)</f>
        <v>#VALUE!</v>
      </c>
    </row>
    <row r="66" spans="1:15" ht="21" customHeight="1" x14ac:dyDescent="0.25">
      <c r="A66" s="13" t="s">
        <v>208</v>
      </c>
      <c r="B66" s="13" t="s">
        <v>112</v>
      </c>
      <c r="C66" s="13">
        <f>'Paste here'!O66</f>
        <v>0</v>
      </c>
      <c r="D66" s="13">
        <f>'Paste here'!P66</f>
        <v>0</v>
      </c>
      <c r="E66" s="1">
        <f>'Paste here'!T66</f>
        <v>0</v>
      </c>
      <c r="F66" s="13">
        <f>'Paste here'!E66</f>
        <v>0</v>
      </c>
      <c r="G66" s="13">
        <f>'Paste here'!F66</f>
        <v>0</v>
      </c>
      <c r="H66" s="13">
        <f>'Paste here'!G66</f>
        <v>0</v>
      </c>
      <c r="I66" s="13">
        <f>'Paste here'!L66</f>
        <v>0</v>
      </c>
      <c r="J66" s="13">
        <f>'Paste here'!N66</f>
        <v>0</v>
      </c>
      <c r="K66" s="64" t="e">
        <f>IF(J66*VLOOKUP(H66,'Claim Amount'!$B$3:$J$24,2,FALSE)&lt;VLOOKUP(H66,'Claim Amount'!$B$3:$J$24,3,FALSE),VLOOKUP(H66,'Claim Amount'!$B$3:$J$24,3,FALSE),J66*VLOOKUP(H66,'Claim Amount'!$B$3:$J$24,2,FALSE))</f>
        <v>#N/A</v>
      </c>
      <c r="L66" s="13">
        <f>IF(I66="Regular Lab",VLOOKUP(F66,'Claim Amount'!$B$3:$J$13,2,FALSE),0)</f>
        <v>0</v>
      </c>
      <c r="M66" s="13">
        <f>IF(I66="Regular Lab",IF(VLOOKUP(External!E66,'Distance matrix'!$B$1:$C$310,2,FALSE)&lt;36,150,16*VLOOKUP(External!E66,'Distance matrix'!$B$1:$C$310,2,FALSE)),0)</f>
        <v>0</v>
      </c>
      <c r="N66" s="13" t="e">
        <f t="shared" si="0"/>
        <v>#N/A</v>
      </c>
      <c r="O66" s="61" t="e" cm="1">
        <f t="array" ref="O66">[1]!SPELLNUMBER(N66)</f>
        <v>#VALUE!</v>
      </c>
    </row>
    <row r="67" spans="1:15" ht="21" customHeight="1" x14ac:dyDescent="0.25">
      <c r="A67" s="13" t="s">
        <v>209</v>
      </c>
      <c r="B67" s="13" t="s">
        <v>112</v>
      </c>
      <c r="C67" s="13">
        <f>'Paste here'!O67</f>
        <v>0</v>
      </c>
      <c r="D67" s="13">
        <f>'Paste here'!P67</f>
        <v>0</v>
      </c>
      <c r="E67" s="1">
        <f>'Paste here'!T67</f>
        <v>0</v>
      </c>
      <c r="F67" s="13">
        <f>'Paste here'!E67</f>
        <v>0</v>
      </c>
      <c r="G67" s="13">
        <f>'Paste here'!F67</f>
        <v>0</v>
      </c>
      <c r="H67" s="13">
        <f>'Paste here'!G67</f>
        <v>0</v>
      </c>
      <c r="I67" s="13">
        <f>'Paste here'!L67</f>
        <v>0</v>
      </c>
      <c r="J67" s="13">
        <f>'Paste here'!N67</f>
        <v>0</v>
      </c>
      <c r="K67" s="64" t="e">
        <f>IF(J67*VLOOKUP(H67,'Claim Amount'!$B$3:$J$24,2,FALSE)&lt;VLOOKUP(H67,'Claim Amount'!$B$3:$J$24,3,FALSE),VLOOKUP(H67,'Claim Amount'!$B$3:$J$24,3,FALSE),J67*VLOOKUP(H67,'Claim Amount'!$B$3:$J$24,2,FALSE))</f>
        <v>#N/A</v>
      </c>
      <c r="L67" s="13">
        <f>IF(I67="Regular Lab",VLOOKUP(F67,'Claim Amount'!$B$3:$J$13,2,FALSE),0)</f>
        <v>0</v>
      </c>
      <c r="M67" s="13">
        <f>IF(I67="Regular Lab",IF(VLOOKUP(External!E67,'Distance matrix'!$B$1:$C$310,2,FALSE)&lt;36,150,16*VLOOKUP(External!E67,'Distance matrix'!$B$1:$C$310,2,FALSE)),0)</f>
        <v>0</v>
      </c>
      <c r="N67" s="13" t="e">
        <f t="shared" ref="N67:N82" si="1">K67+L67+M67</f>
        <v>#N/A</v>
      </c>
      <c r="O67" s="61" t="e" cm="1">
        <f t="array" ref="O67">[1]!SPELLNUMBER(N67)</f>
        <v>#VALUE!</v>
      </c>
    </row>
    <row r="68" spans="1:15" ht="21" customHeight="1" x14ac:dyDescent="0.25">
      <c r="A68" s="13" t="s">
        <v>210</v>
      </c>
      <c r="B68" s="13" t="s">
        <v>112</v>
      </c>
      <c r="C68" s="13">
        <f>'Paste here'!O68</f>
        <v>0</v>
      </c>
      <c r="D68" s="13">
        <f>'Paste here'!P68</f>
        <v>0</v>
      </c>
      <c r="E68" s="1">
        <f>'Paste here'!T68</f>
        <v>0</v>
      </c>
      <c r="F68" s="13">
        <f>'Paste here'!E68</f>
        <v>0</v>
      </c>
      <c r="G68" s="13">
        <f>'Paste here'!F68</f>
        <v>0</v>
      </c>
      <c r="H68" s="13">
        <f>'Paste here'!G68</f>
        <v>0</v>
      </c>
      <c r="I68" s="13">
        <f>'Paste here'!L68</f>
        <v>0</v>
      </c>
      <c r="J68" s="13">
        <f>'Paste here'!N68</f>
        <v>0</v>
      </c>
      <c r="K68" s="64" t="e">
        <f>IF(J68*VLOOKUP(H68,'Claim Amount'!$B$3:$J$24,2,FALSE)&lt;VLOOKUP(H68,'Claim Amount'!$B$3:$J$24,3,FALSE),VLOOKUP(H68,'Claim Amount'!$B$3:$J$24,3,FALSE),J68*VLOOKUP(H68,'Claim Amount'!$B$3:$J$24,2,FALSE))</f>
        <v>#N/A</v>
      </c>
      <c r="L68" s="13">
        <f>IF(I68="Regular Lab",VLOOKUP(F68,'Claim Amount'!$B$3:$J$13,2,FALSE),0)</f>
        <v>0</v>
      </c>
      <c r="M68" s="13">
        <f>IF(I68="Regular Lab",IF(VLOOKUP(External!E68,'Distance matrix'!$B$1:$C$310,2,FALSE)&lt;36,150,16*VLOOKUP(External!E68,'Distance matrix'!$B$1:$C$310,2,FALSE)),0)</f>
        <v>0</v>
      </c>
      <c r="N68" s="13" t="e">
        <f t="shared" si="1"/>
        <v>#N/A</v>
      </c>
      <c r="O68" s="61" t="e" cm="1">
        <f t="array" ref="O68">[1]!SPELLNUMBER(N68)</f>
        <v>#VALUE!</v>
      </c>
    </row>
    <row r="69" spans="1:15" ht="21" customHeight="1" x14ac:dyDescent="0.25">
      <c r="A69" s="13" t="s">
        <v>211</v>
      </c>
      <c r="B69" s="13" t="s">
        <v>112</v>
      </c>
      <c r="C69" s="13">
        <f>'Paste here'!O69</f>
        <v>0</v>
      </c>
      <c r="D69" s="13">
        <f>'Paste here'!P69</f>
        <v>0</v>
      </c>
      <c r="E69" s="1">
        <f>'Paste here'!T69</f>
        <v>0</v>
      </c>
      <c r="F69" s="13">
        <f>'Paste here'!E69</f>
        <v>0</v>
      </c>
      <c r="G69" s="13">
        <f>'Paste here'!F69</f>
        <v>0</v>
      </c>
      <c r="H69" s="13">
        <f>'Paste here'!G69</f>
        <v>0</v>
      </c>
      <c r="I69" s="13">
        <f>'Paste here'!L69</f>
        <v>0</v>
      </c>
      <c r="J69" s="13">
        <f>'Paste here'!N69</f>
        <v>0</v>
      </c>
      <c r="K69" s="64" t="e">
        <f>IF(J69*VLOOKUP(H69,'Claim Amount'!$B$3:$J$24,2,FALSE)&lt;VLOOKUP(H69,'Claim Amount'!$B$3:$J$24,3,FALSE),VLOOKUP(H69,'Claim Amount'!$B$3:$J$24,3,FALSE),J69*VLOOKUP(H69,'Claim Amount'!$B$3:$J$24,2,FALSE))</f>
        <v>#N/A</v>
      </c>
      <c r="L69" s="13">
        <f>IF(I69="Regular Lab",VLOOKUP(F69,'Claim Amount'!$B$3:$J$13,2,FALSE),0)</f>
        <v>0</v>
      </c>
      <c r="M69" s="13">
        <f>IF(I69="Regular Lab",IF(VLOOKUP(External!E69,'Distance matrix'!$B$1:$C$310,2,FALSE)&lt;36,150,16*VLOOKUP(External!E69,'Distance matrix'!$B$1:$C$310,2,FALSE)),0)</f>
        <v>0</v>
      </c>
      <c r="N69" s="13" t="e">
        <f t="shared" si="1"/>
        <v>#N/A</v>
      </c>
      <c r="O69" s="61" t="e" cm="1">
        <f t="array" ref="O69">[1]!SPELLNUMBER(N69)</f>
        <v>#VALUE!</v>
      </c>
    </row>
    <row r="70" spans="1:15" ht="21" customHeight="1" x14ac:dyDescent="0.25">
      <c r="A70" s="13" t="s">
        <v>212</v>
      </c>
      <c r="B70" s="13" t="s">
        <v>112</v>
      </c>
      <c r="C70" s="13">
        <f>'Paste here'!O70</f>
        <v>0</v>
      </c>
      <c r="D70" s="13">
        <f>'Paste here'!P70</f>
        <v>0</v>
      </c>
      <c r="E70" s="1">
        <f>'Paste here'!T70</f>
        <v>0</v>
      </c>
      <c r="F70" s="13">
        <f>'Paste here'!E70</f>
        <v>0</v>
      </c>
      <c r="G70" s="13">
        <f>'Paste here'!F70</f>
        <v>0</v>
      </c>
      <c r="H70" s="13">
        <f>'Paste here'!G70</f>
        <v>0</v>
      </c>
      <c r="I70" s="13">
        <f>'Paste here'!L70</f>
        <v>0</v>
      </c>
      <c r="J70" s="13">
        <f>'Paste here'!N70</f>
        <v>0</v>
      </c>
      <c r="K70" s="64" t="e">
        <f>IF(J70*VLOOKUP(H70,'Claim Amount'!$B$3:$J$24,2,FALSE)&lt;VLOOKUP(H70,'Claim Amount'!$B$3:$J$24,3,FALSE),VLOOKUP(H70,'Claim Amount'!$B$3:$J$24,3,FALSE),J70*VLOOKUP(H70,'Claim Amount'!$B$3:$J$24,2,FALSE))</f>
        <v>#N/A</v>
      </c>
      <c r="L70" s="13">
        <f>IF(I70="Regular Lab",VLOOKUP(F70,'Claim Amount'!$B$3:$J$13,2,FALSE),0)</f>
        <v>0</v>
      </c>
      <c r="M70" s="13">
        <f>IF(I70="Regular Lab",IF(VLOOKUP(External!E70,'Distance matrix'!$B$1:$C$310,2,FALSE)&lt;36,150,16*VLOOKUP(External!E70,'Distance matrix'!$B$1:$C$310,2,FALSE)),0)</f>
        <v>0</v>
      </c>
      <c r="N70" s="13" t="e">
        <f t="shared" si="1"/>
        <v>#N/A</v>
      </c>
      <c r="O70" s="61" t="e" cm="1">
        <f t="array" ref="O70">[1]!SPELLNUMBER(N70)</f>
        <v>#VALUE!</v>
      </c>
    </row>
    <row r="71" spans="1:15" ht="21" customHeight="1" x14ac:dyDescent="0.25">
      <c r="A71" s="13" t="s">
        <v>213</v>
      </c>
      <c r="B71" s="13" t="s">
        <v>112</v>
      </c>
      <c r="C71" s="13">
        <f>'Paste here'!O71</f>
        <v>0</v>
      </c>
      <c r="D71" s="13">
        <f>'Paste here'!P71</f>
        <v>0</v>
      </c>
      <c r="E71" s="1">
        <f>'Paste here'!T71</f>
        <v>0</v>
      </c>
      <c r="F71" s="13">
        <f>'Paste here'!E71</f>
        <v>0</v>
      </c>
      <c r="G71" s="13">
        <f>'Paste here'!F71</f>
        <v>0</v>
      </c>
      <c r="H71" s="13">
        <f>'Paste here'!G71</f>
        <v>0</v>
      </c>
      <c r="I71" s="13">
        <f>'Paste here'!L71</f>
        <v>0</v>
      </c>
      <c r="J71" s="13">
        <f>'Paste here'!N71</f>
        <v>0</v>
      </c>
      <c r="K71" s="64" t="e">
        <f>IF(J71*VLOOKUP(H71,'Claim Amount'!$B$3:$J$24,2,FALSE)&lt;VLOOKUP(H71,'Claim Amount'!$B$3:$J$24,3,FALSE),VLOOKUP(H71,'Claim Amount'!$B$3:$J$24,3,FALSE),J71*VLOOKUP(H71,'Claim Amount'!$B$3:$J$24,2,FALSE))</f>
        <v>#N/A</v>
      </c>
      <c r="L71" s="13">
        <f>IF(I71="Regular Lab",VLOOKUP(F71,'Claim Amount'!$B$3:$J$13,2,FALSE),0)</f>
        <v>0</v>
      </c>
      <c r="M71" s="13">
        <f>IF(I71="Regular Lab",IF(VLOOKUP(External!E71,'Distance matrix'!$B$1:$C$310,2,FALSE)&lt;36,150,16*VLOOKUP(External!E71,'Distance matrix'!$B$1:$C$310,2,FALSE)),0)</f>
        <v>0</v>
      </c>
      <c r="N71" s="13" t="e">
        <f t="shared" si="1"/>
        <v>#N/A</v>
      </c>
      <c r="O71" s="61" t="e" cm="1">
        <f t="array" ref="O71">[1]!SPELLNUMBER(N71)</f>
        <v>#VALUE!</v>
      </c>
    </row>
    <row r="72" spans="1:15" ht="21" customHeight="1" x14ac:dyDescent="0.25">
      <c r="A72" s="13" t="s">
        <v>214</v>
      </c>
      <c r="B72" s="13" t="s">
        <v>112</v>
      </c>
      <c r="C72" s="13">
        <f>'Paste here'!O72</f>
        <v>0</v>
      </c>
      <c r="D72" s="13">
        <f>'Paste here'!P72</f>
        <v>0</v>
      </c>
      <c r="E72" s="1">
        <f>'Paste here'!T72</f>
        <v>0</v>
      </c>
      <c r="F72" s="13">
        <f>'Paste here'!E72</f>
        <v>0</v>
      </c>
      <c r="G72" s="13">
        <f>'Paste here'!F72</f>
        <v>0</v>
      </c>
      <c r="H72" s="13">
        <f>'Paste here'!G72</f>
        <v>0</v>
      </c>
      <c r="I72" s="13">
        <f>'Paste here'!L72</f>
        <v>0</v>
      </c>
      <c r="J72" s="13">
        <f>'Paste here'!N72</f>
        <v>0</v>
      </c>
      <c r="K72" s="64" t="e">
        <f>IF(J72*VLOOKUP(H72,'Claim Amount'!$B$3:$J$24,2,FALSE)&lt;VLOOKUP(H72,'Claim Amount'!$B$3:$J$24,3,FALSE),VLOOKUP(H72,'Claim Amount'!$B$3:$J$24,3,FALSE),J72*VLOOKUP(H72,'Claim Amount'!$B$3:$J$24,2,FALSE))</f>
        <v>#N/A</v>
      </c>
      <c r="L72" s="13">
        <f>IF(I72="Regular Lab",VLOOKUP(F72,'Claim Amount'!$B$3:$J$13,2,FALSE),0)</f>
        <v>0</v>
      </c>
      <c r="M72" s="13">
        <f>IF(I72="Regular Lab",IF(VLOOKUP(External!E72,'Distance matrix'!$B$1:$C$310,2,FALSE)&lt;36,150,16*VLOOKUP(External!E72,'Distance matrix'!$B$1:$C$310,2,FALSE)),0)</f>
        <v>0</v>
      </c>
      <c r="N72" s="13" t="e">
        <f t="shared" si="1"/>
        <v>#N/A</v>
      </c>
      <c r="O72" s="61" t="e" cm="1">
        <f t="array" ref="O72">[1]!SPELLNUMBER(N72)</f>
        <v>#VALUE!</v>
      </c>
    </row>
    <row r="73" spans="1:15" ht="21" customHeight="1" x14ac:dyDescent="0.25">
      <c r="A73" s="13" t="s">
        <v>215</v>
      </c>
      <c r="B73" s="13" t="s">
        <v>112</v>
      </c>
      <c r="C73" s="13">
        <f>'Paste here'!O73</f>
        <v>0</v>
      </c>
      <c r="D73" s="13">
        <f>'Paste here'!P73</f>
        <v>0</v>
      </c>
      <c r="E73" s="1">
        <f>'Paste here'!T73</f>
        <v>0</v>
      </c>
      <c r="F73" s="13">
        <f>'Paste here'!E73</f>
        <v>0</v>
      </c>
      <c r="G73" s="13">
        <f>'Paste here'!F73</f>
        <v>0</v>
      </c>
      <c r="H73" s="13">
        <f>'Paste here'!G73</f>
        <v>0</v>
      </c>
      <c r="I73" s="13">
        <f>'Paste here'!L73</f>
        <v>0</v>
      </c>
      <c r="J73" s="13">
        <f>'Paste here'!N73</f>
        <v>0</v>
      </c>
      <c r="K73" s="64" t="e">
        <f>IF(J73*VLOOKUP(H73,'Claim Amount'!$B$3:$J$24,2,FALSE)&lt;VLOOKUP(H73,'Claim Amount'!$B$3:$J$24,3,FALSE),VLOOKUP(H73,'Claim Amount'!$B$3:$J$24,3,FALSE),J73*VLOOKUP(H73,'Claim Amount'!$B$3:$J$24,2,FALSE))</f>
        <v>#N/A</v>
      </c>
      <c r="L73" s="13">
        <f>IF(I73="Regular Lab",VLOOKUP(F73,'Claim Amount'!$B$3:$J$13,2,FALSE),0)</f>
        <v>0</v>
      </c>
      <c r="M73" s="13">
        <f>IF(I73="Regular Lab",IF(VLOOKUP(External!E73,'Distance matrix'!$B$1:$C$310,2,FALSE)&lt;36,150,16*VLOOKUP(External!E73,'Distance matrix'!$B$1:$C$310,2,FALSE)),0)</f>
        <v>0</v>
      </c>
      <c r="N73" s="13" t="e">
        <f t="shared" si="1"/>
        <v>#N/A</v>
      </c>
      <c r="O73" s="61" t="e" cm="1">
        <f t="array" ref="O73">[1]!SPELLNUMBER(N73)</f>
        <v>#VALUE!</v>
      </c>
    </row>
    <row r="74" spans="1:15" ht="21" customHeight="1" x14ac:dyDescent="0.25">
      <c r="A74" s="13" t="s">
        <v>216</v>
      </c>
      <c r="B74" s="13" t="s">
        <v>112</v>
      </c>
      <c r="C74" s="13">
        <f>'Paste here'!O74</f>
        <v>0</v>
      </c>
      <c r="D74" s="13">
        <f>'Paste here'!P74</f>
        <v>0</v>
      </c>
      <c r="E74" s="1">
        <f>'Paste here'!T74</f>
        <v>0</v>
      </c>
      <c r="F74" s="13">
        <f>'Paste here'!E74</f>
        <v>0</v>
      </c>
      <c r="G74" s="13">
        <f>'Paste here'!F74</f>
        <v>0</v>
      </c>
      <c r="H74" s="13">
        <f>'Paste here'!G74</f>
        <v>0</v>
      </c>
      <c r="I74" s="13">
        <f>'Paste here'!L74</f>
        <v>0</v>
      </c>
      <c r="J74" s="13">
        <f>'Paste here'!N74</f>
        <v>0</v>
      </c>
      <c r="K74" s="64" t="e">
        <f>IF(J74*VLOOKUP(H74,'Claim Amount'!$B$3:$J$24,2,FALSE)&lt;VLOOKUP(H74,'Claim Amount'!$B$3:$J$24,3,FALSE),VLOOKUP(H74,'Claim Amount'!$B$3:$J$24,3,FALSE),J74*VLOOKUP(H74,'Claim Amount'!$B$3:$J$24,2,FALSE))</f>
        <v>#N/A</v>
      </c>
      <c r="L74" s="13">
        <f>IF(I74="Regular Lab",VLOOKUP(F74,'Claim Amount'!$B$3:$J$13,2,FALSE),0)</f>
        <v>0</v>
      </c>
      <c r="M74" s="13">
        <f>IF(I74="Regular Lab",IF(VLOOKUP(External!E74,'Distance matrix'!$B$1:$C$310,2,FALSE)&lt;36,150,16*VLOOKUP(External!E74,'Distance matrix'!$B$1:$C$310,2,FALSE)),0)</f>
        <v>0</v>
      </c>
      <c r="N74" s="13" t="e">
        <f t="shared" si="1"/>
        <v>#N/A</v>
      </c>
      <c r="O74" s="61" t="e" cm="1">
        <f t="array" ref="O74">[1]!SPELLNUMBER(N74)</f>
        <v>#VALUE!</v>
      </c>
    </row>
    <row r="75" spans="1:15" ht="21" customHeight="1" x14ac:dyDescent="0.25">
      <c r="A75" s="13" t="s">
        <v>217</v>
      </c>
      <c r="B75" s="13" t="s">
        <v>112</v>
      </c>
      <c r="C75" s="13">
        <f>'Paste here'!O75</f>
        <v>0</v>
      </c>
      <c r="D75" s="13">
        <f>'Paste here'!P75</f>
        <v>0</v>
      </c>
      <c r="E75" s="1">
        <f>'Paste here'!T75</f>
        <v>0</v>
      </c>
      <c r="F75" s="13">
        <f>'Paste here'!E75</f>
        <v>0</v>
      </c>
      <c r="G75" s="13">
        <f>'Paste here'!F75</f>
        <v>0</v>
      </c>
      <c r="H75" s="13">
        <f>'Paste here'!G75</f>
        <v>0</v>
      </c>
      <c r="I75" s="13">
        <f>'Paste here'!L75</f>
        <v>0</v>
      </c>
      <c r="J75" s="13">
        <f>'Paste here'!N75</f>
        <v>0</v>
      </c>
      <c r="K75" s="64" t="e">
        <f>IF(J75*VLOOKUP(H75,'Claim Amount'!$B$3:$J$24,2,FALSE)&lt;VLOOKUP(H75,'Claim Amount'!$B$3:$J$24,3,FALSE),VLOOKUP(H75,'Claim Amount'!$B$3:$J$24,3,FALSE),J75*VLOOKUP(H75,'Claim Amount'!$B$3:$J$24,2,FALSE))</f>
        <v>#N/A</v>
      </c>
      <c r="L75" s="13">
        <f>IF(I75="Regular Lab",VLOOKUP(F75,'Claim Amount'!$B$3:$J$13,2,FALSE),0)</f>
        <v>0</v>
      </c>
      <c r="M75" s="13">
        <f>IF(I75="Regular Lab",IF(VLOOKUP(External!E75,'Distance matrix'!$B$1:$C$310,2,FALSE)&lt;36,150,16*VLOOKUP(External!E75,'Distance matrix'!$B$1:$C$310,2,FALSE)),0)</f>
        <v>0</v>
      </c>
      <c r="N75" s="13" t="e">
        <f t="shared" si="1"/>
        <v>#N/A</v>
      </c>
      <c r="O75" s="61" t="e" cm="1">
        <f t="array" ref="O75">[1]!SPELLNUMBER(N75)</f>
        <v>#VALUE!</v>
      </c>
    </row>
    <row r="76" spans="1:15" ht="21" customHeight="1" x14ac:dyDescent="0.25">
      <c r="A76" s="13" t="s">
        <v>218</v>
      </c>
      <c r="B76" s="13" t="s">
        <v>112</v>
      </c>
      <c r="C76" s="13">
        <f>'Paste here'!O76</f>
        <v>0</v>
      </c>
      <c r="D76" s="13">
        <f>'Paste here'!P76</f>
        <v>0</v>
      </c>
      <c r="E76" s="1">
        <f>'Paste here'!T76</f>
        <v>0</v>
      </c>
      <c r="F76" s="13">
        <f>'Paste here'!E76</f>
        <v>0</v>
      </c>
      <c r="G76" s="13">
        <f>'Paste here'!F76</f>
        <v>0</v>
      </c>
      <c r="H76" s="13">
        <f>'Paste here'!G76</f>
        <v>0</v>
      </c>
      <c r="I76" s="13">
        <f>'Paste here'!L76</f>
        <v>0</v>
      </c>
      <c r="J76" s="13">
        <f>'Paste here'!N76</f>
        <v>0</v>
      </c>
      <c r="K76" s="64" t="e">
        <f>IF(J76*VLOOKUP(H76,'Claim Amount'!$B$3:$J$24,2,FALSE)&lt;VLOOKUP(H76,'Claim Amount'!$B$3:$J$24,3,FALSE),VLOOKUP(H76,'Claim Amount'!$B$3:$J$24,3,FALSE),J76*VLOOKUP(H76,'Claim Amount'!$B$3:$J$24,2,FALSE))</f>
        <v>#N/A</v>
      </c>
      <c r="L76" s="13">
        <f>IF(I76="Regular Lab",VLOOKUP(F76,'Claim Amount'!$B$3:$J$13,2,FALSE),0)</f>
        <v>0</v>
      </c>
      <c r="M76" s="13">
        <f>IF(I76="Regular Lab",IF(VLOOKUP(External!E76,'Distance matrix'!$B$1:$C$310,2,FALSE)&lt;36,150,16*VLOOKUP(External!E76,'Distance matrix'!$B$1:$C$310,2,FALSE)),0)</f>
        <v>0</v>
      </c>
      <c r="N76" s="13" t="e">
        <f t="shared" si="1"/>
        <v>#N/A</v>
      </c>
      <c r="O76" s="61" t="e" cm="1">
        <f t="array" ref="O76">[1]!SPELLNUMBER(N76)</f>
        <v>#VALUE!</v>
      </c>
    </row>
    <row r="77" spans="1:15" ht="21" customHeight="1" x14ac:dyDescent="0.25">
      <c r="A77" s="13" t="s">
        <v>219</v>
      </c>
      <c r="B77" s="13" t="s">
        <v>112</v>
      </c>
      <c r="C77" s="13">
        <f>'Paste here'!O77</f>
        <v>0</v>
      </c>
      <c r="D77" s="13">
        <f>'Paste here'!P77</f>
        <v>0</v>
      </c>
      <c r="E77" s="1">
        <f>'Paste here'!T77</f>
        <v>0</v>
      </c>
      <c r="F77" s="13">
        <f>'Paste here'!E77</f>
        <v>0</v>
      </c>
      <c r="G77" s="13">
        <f>'Paste here'!F77</f>
        <v>0</v>
      </c>
      <c r="H77" s="13">
        <f>'Paste here'!G77</f>
        <v>0</v>
      </c>
      <c r="I77" s="13">
        <f>'Paste here'!L77</f>
        <v>0</v>
      </c>
      <c r="J77" s="13">
        <f>'Paste here'!N77</f>
        <v>0</v>
      </c>
      <c r="K77" s="64" t="e">
        <f>IF(J77*VLOOKUP(H77,'Claim Amount'!$B$3:$J$24,2,FALSE)&lt;VLOOKUP(H77,'Claim Amount'!$B$3:$J$24,3,FALSE),VLOOKUP(H77,'Claim Amount'!$B$3:$J$24,3,FALSE),J77*VLOOKUP(H77,'Claim Amount'!$B$3:$J$24,2,FALSE))</f>
        <v>#N/A</v>
      </c>
      <c r="L77" s="13">
        <f>IF(I77="Regular Lab",VLOOKUP(F77,'Claim Amount'!$B$3:$J$13,2,FALSE),0)</f>
        <v>0</v>
      </c>
      <c r="M77" s="13">
        <f>IF(I77="Regular Lab",IF(VLOOKUP(External!E77,'Distance matrix'!$B$1:$C$310,2,FALSE)&lt;36,150,16*VLOOKUP(External!E77,'Distance matrix'!$B$1:$C$310,2,FALSE)),0)</f>
        <v>0</v>
      </c>
      <c r="N77" s="13" t="e">
        <f t="shared" si="1"/>
        <v>#N/A</v>
      </c>
      <c r="O77" s="61" t="e" cm="1">
        <f t="array" ref="O77">[1]!SPELLNUMBER(N77)</f>
        <v>#VALUE!</v>
      </c>
    </row>
    <row r="78" spans="1:15" ht="21" customHeight="1" x14ac:dyDescent="0.25">
      <c r="A78" s="13" t="s">
        <v>220</v>
      </c>
      <c r="B78" s="13" t="s">
        <v>112</v>
      </c>
      <c r="C78" s="13">
        <f>'Paste here'!O78</f>
        <v>0</v>
      </c>
      <c r="D78" s="13">
        <f>'Paste here'!P78</f>
        <v>0</v>
      </c>
      <c r="E78" s="1">
        <f>'Paste here'!T78</f>
        <v>0</v>
      </c>
      <c r="F78" s="13">
        <f>'Paste here'!E78</f>
        <v>0</v>
      </c>
      <c r="G78" s="13">
        <f>'Paste here'!F78</f>
        <v>0</v>
      </c>
      <c r="H78" s="13">
        <f>'Paste here'!G78</f>
        <v>0</v>
      </c>
      <c r="I78" s="13">
        <f>'Paste here'!L78</f>
        <v>0</v>
      </c>
      <c r="J78" s="13">
        <f>'Paste here'!N78</f>
        <v>0</v>
      </c>
      <c r="K78" s="64" t="e">
        <f>IF(J78*VLOOKUP(H78,'Claim Amount'!$B$3:$J$24,2,FALSE)&lt;VLOOKUP(H78,'Claim Amount'!$B$3:$J$24,3,FALSE),VLOOKUP(H78,'Claim Amount'!$B$3:$J$24,3,FALSE),J78*VLOOKUP(H78,'Claim Amount'!$B$3:$J$24,2,FALSE))</f>
        <v>#N/A</v>
      </c>
      <c r="L78" s="13">
        <f>IF(I78="Regular Lab",VLOOKUP(F78,'Claim Amount'!$B$3:$J$13,2,FALSE),0)</f>
        <v>0</v>
      </c>
      <c r="M78" s="13">
        <f>IF(I78="Regular Lab",IF(VLOOKUP(External!E78,'Distance matrix'!$B$1:$C$310,2,FALSE)&lt;36,150,16*VLOOKUP(External!E78,'Distance matrix'!$B$1:$C$310,2,FALSE)),0)</f>
        <v>0</v>
      </c>
      <c r="N78" s="13" t="e">
        <f t="shared" si="1"/>
        <v>#N/A</v>
      </c>
      <c r="O78" s="61" t="e" cm="1">
        <f t="array" ref="O78">[1]!SPELLNUMBER(N78)</f>
        <v>#VALUE!</v>
      </c>
    </row>
    <row r="79" spans="1:15" ht="21" customHeight="1" x14ac:dyDescent="0.25">
      <c r="A79" s="13" t="s">
        <v>221</v>
      </c>
      <c r="B79" s="13" t="s">
        <v>112</v>
      </c>
      <c r="C79" s="13">
        <f>'Paste here'!O79</f>
        <v>0</v>
      </c>
      <c r="D79" s="13">
        <f>'Paste here'!P79</f>
        <v>0</v>
      </c>
      <c r="E79" s="1">
        <f>'Paste here'!T79</f>
        <v>0</v>
      </c>
      <c r="F79" s="13">
        <f>'Paste here'!E79</f>
        <v>0</v>
      </c>
      <c r="G79" s="13">
        <f>'Paste here'!F79</f>
        <v>0</v>
      </c>
      <c r="H79" s="13">
        <f>'Paste here'!G79</f>
        <v>0</v>
      </c>
      <c r="I79" s="13">
        <f>'Paste here'!L79</f>
        <v>0</v>
      </c>
      <c r="J79" s="13">
        <f>'Paste here'!N79</f>
        <v>0</v>
      </c>
      <c r="K79" s="64" t="e">
        <f>IF(J79*VLOOKUP(H79,'Claim Amount'!$B$3:$J$24,2,FALSE)&lt;VLOOKUP(H79,'Claim Amount'!$B$3:$J$24,3,FALSE),VLOOKUP(H79,'Claim Amount'!$B$3:$J$24,3,FALSE),J79*VLOOKUP(H79,'Claim Amount'!$B$3:$J$24,2,FALSE))</f>
        <v>#N/A</v>
      </c>
      <c r="L79" s="13">
        <f>IF(I79="Regular Lab",VLOOKUP(F79,'Claim Amount'!$B$3:$J$13,2,FALSE),0)</f>
        <v>0</v>
      </c>
      <c r="M79" s="13">
        <f>IF(I79="Regular Lab",IF(VLOOKUP(External!E79,'Distance matrix'!$B$1:$C$310,2,FALSE)&lt;36,150,16*VLOOKUP(External!E79,'Distance matrix'!$B$1:$C$310,2,FALSE)),0)</f>
        <v>0</v>
      </c>
      <c r="N79" s="13" t="e">
        <f t="shared" si="1"/>
        <v>#N/A</v>
      </c>
      <c r="O79" s="61" t="e" cm="1">
        <f t="array" ref="O79">[1]!SPELLNUMBER(N79)</f>
        <v>#VALUE!</v>
      </c>
    </row>
    <row r="80" spans="1:15" ht="21" customHeight="1" x14ac:dyDescent="0.25">
      <c r="A80" s="13" t="s">
        <v>222</v>
      </c>
      <c r="B80" s="13" t="s">
        <v>112</v>
      </c>
      <c r="C80" s="13">
        <f>'Paste here'!O80</f>
        <v>0</v>
      </c>
      <c r="D80" s="13">
        <f>'Paste here'!P80</f>
        <v>0</v>
      </c>
      <c r="E80" s="1">
        <f>'Paste here'!T80</f>
        <v>0</v>
      </c>
      <c r="F80" s="13">
        <f>'Paste here'!E80</f>
        <v>0</v>
      </c>
      <c r="G80" s="13">
        <f>'Paste here'!F80</f>
        <v>0</v>
      </c>
      <c r="H80" s="13">
        <f>'Paste here'!G80</f>
        <v>0</v>
      </c>
      <c r="I80" s="13">
        <f>'Paste here'!L80</f>
        <v>0</v>
      </c>
      <c r="J80" s="13">
        <f>'Paste here'!N80</f>
        <v>0</v>
      </c>
      <c r="K80" s="64" t="e">
        <f>IF(J80*VLOOKUP(H80,'Claim Amount'!$B$3:$J$24,2,FALSE)&lt;VLOOKUP(H80,'Claim Amount'!$B$3:$J$24,3,FALSE),VLOOKUP(H80,'Claim Amount'!$B$3:$J$24,3,FALSE),J80*VLOOKUP(H80,'Claim Amount'!$B$3:$J$24,2,FALSE))</f>
        <v>#N/A</v>
      </c>
      <c r="L80" s="13">
        <f>IF(I80="Regular Lab",VLOOKUP(F80,'Claim Amount'!$B$3:$J$13,2,FALSE),0)</f>
        <v>0</v>
      </c>
      <c r="M80" s="13">
        <f>IF(I80="Regular Lab",IF(VLOOKUP(External!E80,'Distance matrix'!$B$1:$C$310,2,FALSE)&lt;36,150,16*VLOOKUP(External!E80,'Distance matrix'!$B$1:$C$310,2,FALSE)),0)</f>
        <v>0</v>
      </c>
      <c r="N80" s="13" t="e">
        <f t="shared" si="1"/>
        <v>#N/A</v>
      </c>
      <c r="O80" s="61" t="e" cm="1">
        <f t="array" ref="O80">[1]!SPELLNUMBER(N80)</f>
        <v>#VALUE!</v>
      </c>
    </row>
    <row r="81" spans="1:15" ht="21" customHeight="1" x14ac:dyDescent="0.25">
      <c r="A81" s="13" t="s">
        <v>223</v>
      </c>
      <c r="B81" s="13" t="s">
        <v>112</v>
      </c>
      <c r="C81" s="13">
        <f>'Paste here'!O81</f>
        <v>0</v>
      </c>
      <c r="D81" s="13">
        <f>'Paste here'!P81</f>
        <v>0</v>
      </c>
      <c r="E81" s="1">
        <f>'Paste here'!T81</f>
        <v>0</v>
      </c>
      <c r="F81" s="13">
        <f>'Paste here'!E81</f>
        <v>0</v>
      </c>
      <c r="G81" s="13">
        <f>'Paste here'!F81</f>
        <v>0</v>
      </c>
      <c r="H81" s="13">
        <f>'Paste here'!G81</f>
        <v>0</v>
      </c>
      <c r="I81" s="13">
        <f>'Paste here'!L81</f>
        <v>0</v>
      </c>
      <c r="J81" s="13">
        <f>'Paste here'!N81</f>
        <v>0</v>
      </c>
      <c r="K81" s="64" t="e">
        <f>IF(J81*VLOOKUP(H81,'Claim Amount'!$B$3:$J$24,2,FALSE)&lt;VLOOKUP(H81,'Claim Amount'!$B$3:$J$24,3,FALSE),VLOOKUP(H81,'Claim Amount'!$B$3:$J$24,3,FALSE),J81*VLOOKUP(H81,'Claim Amount'!$B$3:$J$24,2,FALSE))</f>
        <v>#N/A</v>
      </c>
      <c r="L81" s="13">
        <f>IF(I81="Regular Lab",VLOOKUP(F81,'Claim Amount'!$B$3:$J$13,2,FALSE),0)</f>
        <v>0</v>
      </c>
      <c r="M81" s="13">
        <f>IF(I81="Regular Lab",IF(VLOOKUP(External!E81,'Distance matrix'!$B$1:$C$310,2,FALSE)&lt;36,150,16*VLOOKUP(External!E81,'Distance matrix'!$B$1:$C$310,2,FALSE)),0)</f>
        <v>0</v>
      </c>
      <c r="N81" s="13" t="e">
        <f t="shared" si="1"/>
        <v>#N/A</v>
      </c>
      <c r="O81" s="61" t="e" cm="1">
        <f t="array" ref="O81">[1]!SPELLNUMBER(N81)</f>
        <v>#VALUE!</v>
      </c>
    </row>
    <row r="82" spans="1:15" ht="21" customHeight="1" x14ac:dyDescent="0.25">
      <c r="A82" s="13" t="s">
        <v>224</v>
      </c>
      <c r="B82" s="13" t="s">
        <v>112</v>
      </c>
      <c r="C82" s="13">
        <f>'Paste here'!O82</f>
        <v>0</v>
      </c>
      <c r="D82" s="13">
        <f>'Paste here'!P82</f>
        <v>0</v>
      </c>
      <c r="E82" s="1">
        <f>'Paste here'!T82</f>
        <v>0</v>
      </c>
      <c r="F82" s="13">
        <f>'Paste here'!E82</f>
        <v>0</v>
      </c>
      <c r="G82" s="13">
        <f>'Paste here'!F82</f>
        <v>0</v>
      </c>
      <c r="H82" s="13">
        <f>'Paste here'!G82</f>
        <v>0</v>
      </c>
      <c r="I82" s="13">
        <f>'Paste here'!L82</f>
        <v>0</v>
      </c>
      <c r="J82" s="13">
        <f>'Paste here'!N82</f>
        <v>0</v>
      </c>
      <c r="K82" s="64" t="e">
        <f>IF(J82*VLOOKUP(H82,'Claim Amount'!$B$3:$J$24,2,FALSE)&lt;VLOOKUP(H82,'Claim Amount'!$B$3:$J$24,3,FALSE),VLOOKUP(H82,'Claim Amount'!$B$3:$J$24,3,FALSE),J82*VLOOKUP(H82,'Claim Amount'!$B$3:$J$24,2,FALSE))</f>
        <v>#N/A</v>
      </c>
      <c r="L82" s="13">
        <f>IF(I82="Regular Lab",VLOOKUP(F82,'Claim Amount'!$B$3:$J$13,2,FALSE),0)</f>
        <v>0</v>
      </c>
      <c r="M82" s="13">
        <f>IF(I82="Regular Lab",IF(VLOOKUP(External!E82,'Distance matrix'!$B$1:$C$310,2,FALSE)&lt;36,150,16*VLOOKUP(External!E82,'Distance matrix'!$B$1:$C$310,2,FALSE)),0)</f>
        <v>0</v>
      </c>
      <c r="N82" s="13" t="e">
        <f t="shared" si="1"/>
        <v>#N/A</v>
      </c>
      <c r="O82" s="61" t="e" cm="1">
        <f t="array" ref="O82">[1]!SPELLNUMBER(N82)</f>
        <v>#VALUE!</v>
      </c>
    </row>
    <row r="83" spans="1:15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N83" s="2"/>
    </row>
    <row r="84" spans="1:15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N84" s="2"/>
    </row>
    <row r="85" spans="1:15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N85" s="2"/>
    </row>
    <row r="86" spans="1:15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N86" s="2"/>
    </row>
    <row r="87" spans="1:15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N87" s="2"/>
    </row>
    <row r="88" spans="1:15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N88" s="2"/>
    </row>
    <row r="89" spans="1:15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N89" s="2"/>
    </row>
    <row r="90" spans="1:15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N90" s="2"/>
    </row>
    <row r="91" spans="1:15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N91" s="2"/>
    </row>
    <row r="92" spans="1:15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N92" s="2"/>
    </row>
    <row r="93" spans="1:15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N93" s="2"/>
    </row>
    <row r="94" spans="1:15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N94" s="2"/>
    </row>
    <row r="95" spans="1:15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N95" s="2"/>
    </row>
    <row r="96" spans="1:15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N96" s="2"/>
    </row>
    <row r="97" spans="1:14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N97" s="2"/>
    </row>
    <row r="98" spans="1:14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N98" s="2"/>
    </row>
    <row r="99" spans="1:14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N99" s="2"/>
    </row>
    <row r="100" spans="1:14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N100" s="2"/>
    </row>
    <row r="101" spans="1:14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N101" s="2"/>
    </row>
    <row r="102" spans="1:14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N102" s="2"/>
    </row>
    <row r="103" spans="1:14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N103" s="2"/>
    </row>
    <row r="104" spans="1:14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N104" s="2"/>
    </row>
    <row r="105" spans="1:14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N105" s="2"/>
    </row>
    <row r="106" spans="1:14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N106" s="2"/>
    </row>
    <row r="107" spans="1:14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N107" s="2"/>
    </row>
    <row r="108" spans="1:14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N108" s="2"/>
    </row>
    <row r="109" spans="1:14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N109" s="2"/>
    </row>
    <row r="110" spans="1:14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N110" s="2"/>
    </row>
    <row r="111" spans="1:14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N111" s="2"/>
    </row>
    <row r="112" spans="1:14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N112" s="2"/>
    </row>
    <row r="113" spans="1:14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N113" s="2"/>
    </row>
    <row r="114" spans="1:14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N114" s="2"/>
    </row>
    <row r="115" spans="1:14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N115" s="2"/>
    </row>
    <row r="116" spans="1:14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N116" s="2"/>
    </row>
    <row r="117" spans="1:14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N117" s="2"/>
    </row>
    <row r="118" spans="1:14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N118" s="2"/>
    </row>
    <row r="119" spans="1:14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N119" s="2"/>
    </row>
    <row r="120" spans="1:14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N120" s="2"/>
    </row>
    <row r="121" spans="1:14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N121" s="2"/>
    </row>
    <row r="122" spans="1:14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N122" s="2"/>
    </row>
    <row r="123" spans="1:14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N123" s="2"/>
    </row>
    <row r="124" spans="1:14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N124" s="2"/>
    </row>
    <row r="125" spans="1:14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N125" s="2"/>
    </row>
    <row r="126" spans="1:14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N126" s="2"/>
    </row>
    <row r="127" spans="1:14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N127" s="2"/>
    </row>
    <row r="128" spans="1:14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N128" s="2"/>
    </row>
    <row r="129" spans="1:14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N129" s="2"/>
    </row>
    <row r="130" spans="1:14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N130" s="2"/>
    </row>
    <row r="131" spans="1:14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N131" s="2"/>
    </row>
    <row r="132" spans="1:14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N132" s="2"/>
    </row>
    <row r="133" spans="1:14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N133" s="2"/>
    </row>
    <row r="134" spans="1:14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N134" s="2"/>
    </row>
    <row r="135" spans="1:14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N135" s="2"/>
    </row>
    <row r="136" spans="1:14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N136" s="2"/>
    </row>
    <row r="137" spans="1:14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N137" s="2"/>
    </row>
    <row r="138" spans="1:14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N138" s="2"/>
    </row>
    <row r="139" spans="1:14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N139" s="2"/>
    </row>
    <row r="140" spans="1:14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N140" s="2"/>
    </row>
    <row r="141" spans="1:14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N141" s="2"/>
    </row>
    <row r="142" spans="1:14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N142" s="2"/>
    </row>
    <row r="143" spans="1:14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N143" s="2"/>
    </row>
    <row r="144" spans="1:14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N144" s="2"/>
    </row>
    <row r="145" spans="1:14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N145" s="2"/>
    </row>
    <row r="146" spans="1:14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N146" s="2"/>
    </row>
    <row r="147" spans="1:14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N147" s="2"/>
    </row>
    <row r="148" spans="1:14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N148" s="2"/>
    </row>
    <row r="149" spans="1:14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N149" s="2"/>
    </row>
    <row r="150" spans="1:14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N150" s="2"/>
    </row>
    <row r="151" spans="1:14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N151" s="2"/>
    </row>
    <row r="152" spans="1:14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N152" s="2"/>
    </row>
    <row r="153" spans="1:14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N153" s="2"/>
    </row>
    <row r="154" spans="1:14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N154" s="2"/>
    </row>
    <row r="155" spans="1:14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N155" s="2"/>
    </row>
    <row r="156" spans="1:14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N156" s="2"/>
    </row>
    <row r="157" spans="1:14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N157" s="2"/>
    </row>
    <row r="158" spans="1:14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N158" s="2"/>
    </row>
    <row r="159" spans="1:14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N159" s="2"/>
    </row>
    <row r="160" spans="1:14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N160" s="2"/>
    </row>
    <row r="161" spans="1:14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N161" s="2"/>
    </row>
    <row r="162" spans="1:14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N162" s="2"/>
    </row>
    <row r="163" spans="1:14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N163" s="2"/>
    </row>
    <row r="164" spans="1:14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N164" s="2"/>
    </row>
    <row r="165" spans="1:14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N165" s="2"/>
    </row>
    <row r="166" spans="1:14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N166" s="2"/>
    </row>
    <row r="167" spans="1:14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N167" s="2"/>
    </row>
    <row r="168" spans="1:14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N168" s="2"/>
    </row>
    <row r="169" spans="1:14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N169" s="2"/>
    </row>
    <row r="170" spans="1:14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N170" s="2"/>
    </row>
    <row r="171" spans="1:14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N171" s="2"/>
    </row>
    <row r="172" spans="1:14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N172" s="2"/>
    </row>
    <row r="173" spans="1:14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N173" s="2"/>
    </row>
    <row r="174" spans="1:14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N174" s="2"/>
    </row>
    <row r="175" spans="1:14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N175" s="2"/>
    </row>
    <row r="176" spans="1:14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N176" s="2"/>
    </row>
    <row r="177" spans="1:14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N177" s="2"/>
    </row>
    <row r="178" spans="1:14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N178" s="2"/>
    </row>
    <row r="179" spans="1:14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N179" s="2"/>
    </row>
    <row r="180" spans="1:14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N180" s="2"/>
    </row>
    <row r="181" spans="1:14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N181" s="2"/>
    </row>
    <row r="182" spans="1:14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N182" s="2"/>
    </row>
    <row r="183" spans="1:14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N183" s="2"/>
    </row>
    <row r="184" spans="1:14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N184" s="2"/>
    </row>
    <row r="185" spans="1:14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N185" s="2"/>
    </row>
    <row r="186" spans="1:14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N186" s="2"/>
    </row>
    <row r="187" spans="1:14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N187" s="2"/>
    </row>
    <row r="188" spans="1:14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N188" s="2"/>
    </row>
    <row r="189" spans="1:14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N189" s="2"/>
    </row>
    <row r="190" spans="1:14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N190" s="2"/>
    </row>
    <row r="191" spans="1:14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N191" s="2"/>
    </row>
    <row r="192" spans="1:14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N192" s="2"/>
    </row>
    <row r="193" spans="1:14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N193" s="2"/>
    </row>
    <row r="194" spans="1:14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N194" s="2"/>
    </row>
    <row r="195" spans="1:14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N195" s="2"/>
    </row>
    <row r="196" spans="1:14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N196" s="2"/>
    </row>
    <row r="197" spans="1:14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N197" s="2"/>
    </row>
    <row r="198" spans="1:14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N198" s="2"/>
    </row>
    <row r="199" spans="1:14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N199" s="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58"/>
  <sheetViews>
    <sheetView zoomScale="70" zoomScaleNormal="70" workbookViewId="0">
      <selection activeCell="M2" sqref="M2"/>
    </sheetView>
  </sheetViews>
  <sheetFormatPr defaultRowHeight="15" x14ac:dyDescent="0.25"/>
  <cols>
    <col min="2" max="2" width="19.140625" customWidth="1"/>
    <col min="3" max="3" width="5.85546875" customWidth="1"/>
    <col min="4" max="5" width="20.7109375" customWidth="1"/>
    <col min="6" max="6" width="16.7109375" customWidth="1"/>
    <col min="7" max="7" width="10.5703125" customWidth="1"/>
    <col min="8" max="8" width="16.7109375" bestFit="1" customWidth="1"/>
    <col min="9" max="9" width="11.28515625" customWidth="1"/>
    <col min="11" max="11" width="9.140625" style="2"/>
    <col min="13" max="13" width="45.7109375" bestFit="1" customWidth="1"/>
    <col min="14" max="14" width="26.42578125" customWidth="1"/>
  </cols>
  <sheetData>
    <row r="1" spans="1:13" s="6" customFormat="1" ht="48" customHeight="1" x14ac:dyDescent="0.25">
      <c r="A1" s="6" t="s">
        <v>109</v>
      </c>
      <c r="B1" s="6" t="s">
        <v>111</v>
      </c>
      <c r="C1" s="6" t="s">
        <v>113</v>
      </c>
      <c r="D1" s="6" t="s">
        <v>110</v>
      </c>
      <c r="E1" s="6" t="s">
        <v>118</v>
      </c>
      <c r="F1" s="6" t="s">
        <v>119</v>
      </c>
      <c r="G1" s="6" t="s">
        <v>115</v>
      </c>
      <c r="H1" s="6" t="s">
        <v>4</v>
      </c>
      <c r="I1" s="6" t="s">
        <v>114</v>
      </c>
      <c r="J1" s="6" t="s">
        <v>116</v>
      </c>
      <c r="K1" s="6" t="s">
        <v>120</v>
      </c>
      <c r="L1" s="6" t="s">
        <v>121</v>
      </c>
      <c r="M1" s="6" t="s">
        <v>371</v>
      </c>
    </row>
    <row r="2" spans="1:13" s="1" customFormat="1" ht="18.600000000000001" customHeight="1" x14ac:dyDescent="0.25">
      <c r="A2" s="1" t="s">
        <v>50</v>
      </c>
      <c r="B2" s="13" t="s">
        <v>122</v>
      </c>
      <c r="C2" s="13" t="str">
        <f>'Paste here'!Y2</f>
        <v>Mr.</v>
      </c>
      <c r="D2" s="13" t="str">
        <f>'Paste here'!Z2</f>
        <v>KASTHURI RENGAN P</v>
      </c>
      <c r="E2" s="13" t="s">
        <v>47</v>
      </c>
      <c r="F2" s="13" t="str">
        <f>'Paste here'!E2</f>
        <v>Only FN</v>
      </c>
      <c r="G2" s="13" t="str">
        <f>'Paste here'!F2</f>
        <v>UG</v>
      </c>
      <c r="H2" s="13" t="str">
        <f>'Paste here'!G2</f>
        <v>TCPL</v>
      </c>
      <c r="I2" s="13">
        <f>'Paste here'!N2</f>
        <v>22</v>
      </c>
      <c r="J2" s="13">
        <f>IF(I2*VLOOKUP(H2,'Claim Amount'!$B$3:$J$24,4,FALSE)&lt;VLOOKUP(H2,'Claim Amount'!$B$3:$J$24,5,FALSE),VLOOKUP(H2,'Claim Amount'!$B$3:$J$24,5,FALSE),I2*VLOOKUP(H2,'Claim Amount'!$B$3:$J$24,4,FALSE))</f>
        <v>440</v>
      </c>
      <c r="K2" s="13">
        <f>VLOOKUP(F2,'Claim Amount'!$B$3:$J$13,4,FALSE)</f>
        <v>250</v>
      </c>
      <c r="L2" s="13">
        <f>J2</f>
        <v>440</v>
      </c>
      <c r="M2" s="61" t="str" cm="1">
        <f t="array" ref="M2">[1]!SPELLNUMBER(L2)</f>
        <v xml:space="preserve">Rupees Four Hundred Fourty Only </v>
      </c>
    </row>
    <row r="3" spans="1:13" s="1" customFormat="1" ht="18.600000000000001" customHeight="1" x14ac:dyDescent="0.25">
      <c r="A3" s="1" t="s">
        <v>78</v>
      </c>
      <c r="B3" s="13" t="s">
        <v>122</v>
      </c>
      <c r="C3" s="13">
        <f>'Paste here'!Y3</f>
        <v>0</v>
      </c>
      <c r="D3" s="13">
        <f>'Paste here'!Z3</f>
        <v>0</v>
      </c>
      <c r="E3" s="13" t="s">
        <v>47</v>
      </c>
      <c r="F3" s="13">
        <f>'Paste here'!E3</f>
        <v>0</v>
      </c>
      <c r="G3" s="13">
        <f>'Paste here'!F3</f>
        <v>0</v>
      </c>
      <c r="H3" s="13">
        <f>'Paste here'!G3</f>
        <v>0</v>
      </c>
      <c r="I3" s="13">
        <f>'Paste here'!N3</f>
        <v>0</v>
      </c>
      <c r="J3" s="13" t="e">
        <f>IF(I3*VLOOKUP(H3,'Claim Amount'!$B$3:$J$24,4,FALSE)&lt;VLOOKUP(H3,'Claim Amount'!$B$3:$J$24,5,FALSE),VLOOKUP(H3,'Claim Amount'!$B$3:$J$24,5,FALSE),I3*VLOOKUP(H3,'Claim Amount'!$B$3:$J$24,4,FALSE))</f>
        <v>#N/A</v>
      </c>
      <c r="K3" s="13" t="e">
        <f>VLOOKUP(F3,'Claim Amount'!$B$3:$J$13,4,FALSE)</f>
        <v>#N/A</v>
      </c>
      <c r="L3" s="13" t="e">
        <f t="shared" ref="L3:L66" si="0">J3</f>
        <v>#N/A</v>
      </c>
      <c r="M3" s="61" t="e" cm="1">
        <f t="array" ref="M3">[1]!SPELLNUMBER(L3)</f>
        <v>#VALUE!</v>
      </c>
    </row>
    <row r="4" spans="1:13" s="1" customFormat="1" ht="18.600000000000001" customHeight="1" x14ac:dyDescent="0.25">
      <c r="A4" s="1" t="s">
        <v>79</v>
      </c>
      <c r="B4" s="13" t="s">
        <v>122</v>
      </c>
      <c r="C4" s="13">
        <f>'Paste here'!Y4</f>
        <v>0</v>
      </c>
      <c r="D4" s="13">
        <f>'Paste here'!Z4</f>
        <v>0</v>
      </c>
      <c r="E4" s="13" t="s">
        <v>47</v>
      </c>
      <c r="F4" s="13">
        <f>'Paste here'!E4</f>
        <v>0</v>
      </c>
      <c r="G4" s="13">
        <f>'Paste here'!F4</f>
        <v>0</v>
      </c>
      <c r="H4" s="13">
        <f>'Paste here'!G4</f>
        <v>0</v>
      </c>
      <c r="I4" s="13">
        <f>'Paste here'!N4</f>
        <v>0</v>
      </c>
      <c r="J4" s="13" t="e">
        <f>IF(I4*VLOOKUP(H4,'Claim Amount'!$B$3:$J$24,4,FALSE)&lt;VLOOKUP(H4,'Claim Amount'!$B$3:$J$24,5,FALSE),VLOOKUP(H4,'Claim Amount'!$B$3:$J$24,5,FALSE),I4*VLOOKUP(H4,'Claim Amount'!$B$3:$J$24,4,FALSE))</f>
        <v>#N/A</v>
      </c>
      <c r="K4" s="13" t="e">
        <f>VLOOKUP(F4,'Claim Amount'!$B$3:$J$13,4,FALSE)</f>
        <v>#N/A</v>
      </c>
      <c r="L4" s="13" t="e">
        <f t="shared" si="0"/>
        <v>#N/A</v>
      </c>
      <c r="M4" s="61" t="e" cm="1">
        <f t="array" ref="M4">[1]!SPELLNUMBER(L4)</f>
        <v>#VALUE!</v>
      </c>
    </row>
    <row r="5" spans="1:13" s="1" customFormat="1" ht="18.600000000000001" customHeight="1" x14ac:dyDescent="0.25">
      <c r="A5" s="1" t="s">
        <v>51</v>
      </c>
      <c r="B5" s="13" t="s">
        <v>122</v>
      </c>
      <c r="C5" s="13">
        <f>'Paste here'!Y5</f>
        <v>0</v>
      </c>
      <c r="D5" s="13">
        <f>'Paste here'!Z5</f>
        <v>0</v>
      </c>
      <c r="E5" s="13" t="s">
        <v>47</v>
      </c>
      <c r="F5" s="13">
        <f>'Paste here'!E5</f>
        <v>0</v>
      </c>
      <c r="G5" s="13">
        <f>'Paste here'!F5</f>
        <v>0</v>
      </c>
      <c r="H5" s="13">
        <f>'Paste here'!G5</f>
        <v>0</v>
      </c>
      <c r="I5" s="13">
        <f>'Paste here'!N5</f>
        <v>0</v>
      </c>
      <c r="J5" s="13" t="e">
        <f>IF(I5*VLOOKUP(H5,'Claim Amount'!$B$3:$J$24,4,FALSE)&lt;VLOOKUP(H5,'Claim Amount'!$B$3:$J$24,5,FALSE),VLOOKUP(H5,'Claim Amount'!$B$3:$J$24,5,FALSE),I5*VLOOKUP(H5,'Claim Amount'!$B$3:$J$24,4,FALSE))</f>
        <v>#N/A</v>
      </c>
      <c r="K5" s="13" t="e">
        <f>VLOOKUP(F5,'Claim Amount'!$B$3:$J$13,4,FALSE)</f>
        <v>#N/A</v>
      </c>
      <c r="L5" s="13" t="e">
        <f t="shared" si="0"/>
        <v>#N/A</v>
      </c>
      <c r="M5" s="61" t="e" cm="1">
        <f t="array" ref="M5">[1]!SPELLNUMBER(L5)</f>
        <v>#VALUE!</v>
      </c>
    </row>
    <row r="6" spans="1:13" s="1" customFormat="1" ht="18.600000000000001" customHeight="1" x14ac:dyDescent="0.25">
      <c r="A6" s="1" t="s">
        <v>52</v>
      </c>
      <c r="B6" s="13" t="s">
        <v>122</v>
      </c>
      <c r="C6" s="13">
        <f>'Paste here'!Y6</f>
        <v>0</v>
      </c>
      <c r="D6" s="13">
        <f>'Paste here'!Z6</f>
        <v>0</v>
      </c>
      <c r="E6" s="13" t="s">
        <v>47</v>
      </c>
      <c r="F6" s="13">
        <f>'Paste here'!E6</f>
        <v>0</v>
      </c>
      <c r="G6" s="13">
        <f>'Paste here'!F6</f>
        <v>0</v>
      </c>
      <c r="H6" s="13">
        <f>'Paste here'!G6</f>
        <v>0</v>
      </c>
      <c r="I6" s="13">
        <f>'Paste here'!N6</f>
        <v>0</v>
      </c>
      <c r="J6" s="13" t="e">
        <f>IF(I6*VLOOKUP(H6,'Claim Amount'!$B$3:$J$24,4,FALSE)&lt;VLOOKUP(H6,'Claim Amount'!$B$3:$J$24,5,FALSE),VLOOKUP(H6,'Claim Amount'!$B$3:$J$24,5,FALSE),I6*VLOOKUP(H6,'Claim Amount'!$B$3:$J$24,4,FALSE))</f>
        <v>#N/A</v>
      </c>
      <c r="K6" s="13" t="e">
        <f>VLOOKUP(F6,'Claim Amount'!$B$3:$J$13,4,FALSE)</f>
        <v>#N/A</v>
      </c>
      <c r="L6" s="13" t="e">
        <f t="shared" si="0"/>
        <v>#N/A</v>
      </c>
      <c r="M6" s="61" t="e" cm="1">
        <f t="array" ref="M6">[1]!SPELLNUMBER(L6)</f>
        <v>#VALUE!</v>
      </c>
    </row>
    <row r="7" spans="1:13" s="1" customFormat="1" ht="18.600000000000001" customHeight="1" x14ac:dyDescent="0.25">
      <c r="A7" s="1" t="s">
        <v>53</v>
      </c>
      <c r="B7" s="13" t="s">
        <v>122</v>
      </c>
      <c r="C7" s="13">
        <f>'Paste here'!Y7</f>
        <v>0</v>
      </c>
      <c r="D7" s="13">
        <f>'Paste here'!Z7</f>
        <v>0</v>
      </c>
      <c r="E7" s="13" t="s">
        <v>47</v>
      </c>
      <c r="F7" s="13">
        <f>'Paste here'!E7</f>
        <v>0</v>
      </c>
      <c r="G7" s="13">
        <f>'Paste here'!F7</f>
        <v>0</v>
      </c>
      <c r="H7" s="13">
        <f>'Paste here'!G7</f>
        <v>0</v>
      </c>
      <c r="I7" s="13">
        <f>'Paste here'!N7</f>
        <v>0</v>
      </c>
      <c r="J7" s="13" t="e">
        <f>IF(I7*VLOOKUP(H7,'Claim Amount'!$B$3:$J$24,4,FALSE)&lt;VLOOKUP(H7,'Claim Amount'!$B$3:$J$24,5,FALSE),VLOOKUP(H7,'Claim Amount'!$B$3:$J$24,5,FALSE),I7*VLOOKUP(H7,'Claim Amount'!$B$3:$J$24,4,FALSE))</f>
        <v>#N/A</v>
      </c>
      <c r="K7" s="13" t="e">
        <f>VLOOKUP(F7,'Claim Amount'!$B$3:$J$13,4,FALSE)</f>
        <v>#N/A</v>
      </c>
      <c r="L7" s="13" t="e">
        <f t="shared" si="0"/>
        <v>#N/A</v>
      </c>
      <c r="M7" s="61" t="e" cm="1">
        <f t="array" ref="M7">[1]!SPELLNUMBER(L7)</f>
        <v>#VALUE!</v>
      </c>
    </row>
    <row r="8" spans="1:13" s="1" customFormat="1" ht="18.600000000000001" customHeight="1" x14ac:dyDescent="0.25">
      <c r="A8" s="1" t="s">
        <v>54</v>
      </c>
      <c r="B8" s="13" t="s">
        <v>122</v>
      </c>
      <c r="C8" s="13">
        <f>'Paste here'!Y8</f>
        <v>0</v>
      </c>
      <c r="D8" s="13">
        <f>'Paste here'!Z8</f>
        <v>0</v>
      </c>
      <c r="E8" s="13" t="s">
        <v>47</v>
      </c>
      <c r="F8" s="13">
        <f>'Paste here'!E8</f>
        <v>0</v>
      </c>
      <c r="G8" s="13">
        <f>'Paste here'!F8</f>
        <v>0</v>
      </c>
      <c r="H8" s="13">
        <f>'Paste here'!G8</f>
        <v>0</v>
      </c>
      <c r="I8" s="13">
        <f>'Paste here'!N8</f>
        <v>0</v>
      </c>
      <c r="J8" s="13" t="e">
        <f>IF(I8*VLOOKUP(H8,'Claim Amount'!$B$3:$J$24,4,FALSE)&lt;VLOOKUP(H8,'Claim Amount'!$B$3:$J$24,5,FALSE),VLOOKUP(H8,'Claim Amount'!$B$3:$J$24,5,FALSE),I8*VLOOKUP(H8,'Claim Amount'!$B$3:$J$24,4,FALSE))</f>
        <v>#N/A</v>
      </c>
      <c r="K8" s="13" t="e">
        <f>VLOOKUP(F8,'Claim Amount'!$B$3:$J$13,4,FALSE)</f>
        <v>#N/A</v>
      </c>
      <c r="L8" s="13" t="e">
        <f t="shared" si="0"/>
        <v>#N/A</v>
      </c>
      <c r="M8" s="61" t="e" cm="1">
        <f t="array" ref="M8">[1]!SPELLNUMBER(L8)</f>
        <v>#VALUE!</v>
      </c>
    </row>
    <row r="9" spans="1:13" s="1" customFormat="1" ht="18.600000000000001" customHeight="1" x14ac:dyDescent="0.25">
      <c r="A9" s="1" t="s">
        <v>55</v>
      </c>
      <c r="B9" s="13" t="s">
        <v>122</v>
      </c>
      <c r="C9" s="13">
        <f>'Paste here'!Y9</f>
        <v>0</v>
      </c>
      <c r="D9" s="13">
        <f>'Paste here'!Z9</f>
        <v>0</v>
      </c>
      <c r="E9" s="13" t="s">
        <v>47</v>
      </c>
      <c r="F9" s="13">
        <f>'Paste here'!E9</f>
        <v>0</v>
      </c>
      <c r="G9" s="13">
        <f>'Paste here'!F9</f>
        <v>0</v>
      </c>
      <c r="H9" s="13">
        <f>'Paste here'!G9</f>
        <v>0</v>
      </c>
      <c r="I9" s="13">
        <f>'Paste here'!N9</f>
        <v>0</v>
      </c>
      <c r="J9" s="13" t="e">
        <f>IF(I9*VLOOKUP(H9,'Claim Amount'!$B$3:$J$24,4,FALSE)&lt;VLOOKUP(H9,'Claim Amount'!$B$3:$J$24,5,FALSE),VLOOKUP(H9,'Claim Amount'!$B$3:$J$24,5,FALSE),I9*VLOOKUP(H9,'Claim Amount'!$B$3:$J$24,4,FALSE))</f>
        <v>#N/A</v>
      </c>
      <c r="K9" s="13" t="e">
        <f>VLOOKUP(F9,'Claim Amount'!$B$3:$J$13,4,FALSE)</f>
        <v>#N/A</v>
      </c>
      <c r="L9" s="13" t="e">
        <f t="shared" si="0"/>
        <v>#N/A</v>
      </c>
      <c r="M9" s="61" t="e" cm="1">
        <f t="array" ref="M9">[1]!SPELLNUMBER(L9)</f>
        <v>#VALUE!</v>
      </c>
    </row>
    <row r="10" spans="1:13" s="1" customFormat="1" ht="18.600000000000001" customHeight="1" x14ac:dyDescent="0.25">
      <c r="A10" s="1" t="s">
        <v>56</v>
      </c>
      <c r="B10" s="13" t="s">
        <v>122</v>
      </c>
      <c r="C10" s="13">
        <f>'Paste here'!Y10</f>
        <v>0</v>
      </c>
      <c r="D10" s="13">
        <f>'Paste here'!Z10</f>
        <v>0</v>
      </c>
      <c r="E10" s="13" t="s">
        <v>47</v>
      </c>
      <c r="F10" s="13">
        <f>'Paste here'!E10</f>
        <v>0</v>
      </c>
      <c r="G10" s="13">
        <f>'Paste here'!F10</f>
        <v>0</v>
      </c>
      <c r="H10" s="13">
        <f>'Paste here'!G10</f>
        <v>0</v>
      </c>
      <c r="I10" s="13">
        <f>'Paste here'!N10</f>
        <v>0</v>
      </c>
      <c r="J10" s="13" t="e">
        <f>IF(I10*VLOOKUP(H10,'Claim Amount'!$B$3:$J$24,4,FALSE)&lt;VLOOKUP(H10,'Claim Amount'!$B$3:$J$24,5,FALSE),VLOOKUP(H10,'Claim Amount'!$B$3:$J$24,5,FALSE),I10*VLOOKUP(H10,'Claim Amount'!$B$3:$J$24,4,FALSE))</f>
        <v>#N/A</v>
      </c>
      <c r="K10" s="13" t="e">
        <f>VLOOKUP(F10,'Claim Amount'!$B$3:$J$13,4,FALSE)</f>
        <v>#N/A</v>
      </c>
      <c r="L10" s="13" t="e">
        <f t="shared" si="0"/>
        <v>#N/A</v>
      </c>
      <c r="M10" s="61" t="e" cm="1">
        <f t="array" ref="M10">[1]!SPELLNUMBER(L10)</f>
        <v>#VALUE!</v>
      </c>
    </row>
    <row r="11" spans="1:13" s="1" customFormat="1" ht="18.600000000000001" customHeight="1" x14ac:dyDescent="0.25">
      <c r="A11" s="1" t="s">
        <v>57</v>
      </c>
      <c r="B11" s="13" t="s">
        <v>122</v>
      </c>
      <c r="C11" s="13">
        <f>'Paste here'!Y11</f>
        <v>0</v>
      </c>
      <c r="D11" s="13">
        <f>'Paste here'!Z11</f>
        <v>0</v>
      </c>
      <c r="E11" s="13" t="s">
        <v>47</v>
      </c>
      <c r="F11" s="13">
        <f>'Paste here'!E11</f>
        <v>0</v>
      </c>
      <c r="G11" s="13">
        <f>'Paste here'!F11</f>
        <v>0</v>
      </c>
      <c r="H11" s="13">
        <f>'Paste here'!G11</f>
        <v>0</v>
      </c>
      <c r="I11" s="13">
        <f>'Paste here'!N11</f>
        <v>0</v>
      </c>
      <c r="J11" s="13" t="e">
        <f>IF(I11*VLOOKUP(H11,'Claim Amount'!$B$3:$J$24,4,FALSE)&lt;VLOOKUP(H11,'Claim Amount'!$B$3:$J$24,5,FALSE),VLOOKUP(H11,'Claim Amount'!$B$3:$J$24,5,FALSE),I11*VLOOKUP(H11,'Claim Amount'!$B$3:$J$24,4,FALSE))</f>
        <v>#N/A</v>
      </c>
      <c r="K11" s="13" t="e">
        <f>VLOOKUP(F11,'Claim Amount'!$B$3:$J$13,4,FALSE)</f>
        <v>#N/A</v>
      </c>
      <c r="L11" s="13" t="e">
        <f t="shared" si="0"/>
        <v>#N/A</v>
      </c>
      <c r="M11" s="61" t="e" cm="1">
        <f t="array" ref="M11">[1]!SPELLNUMBER(L11)</f>
        <v>#VALUE!</v>
      </c>
    </row>
    <row r="12" spans="1:13" s="1" customFormat="1" ht="18.600000000000001" customHeight="1" x14ac:dyDescent="0.25">
      <c r="A12" s="1" t="s">
        <v>58</v>
      </c>
      <c r="B12" s="13" t="s">
        <v>122</v>
      </c>
      <c r="C12" s="13">
        <f>'Paste here'!Y12</f>
        <v>0</v>
      </c>
      <c r="D12" s="13">
        <f>'Paste here'!Z12</f>
        <v>0</v>
      </c>
      <c r="E12" s="13" t="s">
        <v>47</v>
      </c>
      <c r="F12" s="13">
        <f>'Paste here'!E12</f>
        <v>0</v>
      </c>
      <c r="G12" s="13">
        <f>'Paste here'!F12</f>
        <v>0</v>
      </c>
      <c r="H12" s="13">
        <f>'Paste here'!G12</f>
        <v>0</v>
      </c>
      <c r="I12" s="13">
        <f>'Paste here'!N12</f>
        <v>0</v>
      </c>
      <c r="J12" s="13" t="e">
        <f>IF(I12*VLOOKUP(H12,'Claim Amount'!$B$3:$J$24,4,FALSE)&lt;VLOOKUP(H12,'Claim Amount'!$B$3:$J$24,5,FALSE),VLOOKUP(H12,'Claim Amount'!$B$3:$J$24,5,FALSE),I12*VLOOKUP(H12,'Claim Amount'!$B$3:$J$24,4,FALSE))</f>
        <v>#N/A</v>
      </c>
      <c r="K12" s="13" t="e">
        <f>VLOOKUP(F12,'Claim Amount'!$B$3:$J$13,4,FALSE)</f>
        <v>#N/A</v>
      </c>
      <c r="L12" s="13" t="e">
        <f t="shared" si="0"/>
        <v>#N/A</v>
      </c>
      <c r="M12" s="61" t="e" cm="1">
        <f t="array" ref="M12">[1]!SPELLNUMBER(L12)</f>
        <v>#VALUE!</v>
      </c>
    </row>
    <row r="13" spans="1:13" s="1" customFormat="1" ht="18.600000000000001" customHeight="1" x14ac:dyDescent="0.25">
      <c r="A13" s="1" t="s">
        <v>59</v>
      </c>
      <c r="B13" s="13" t="s">
        <v>122</v>
      </c>
      <c r="C13" s="13">
        <f>'Paste here'!Y13</f>
        <v>0</v>
      </c>
      <c r="D13" s="13">
        <f>'Paste here'!Z13</f>
        <v>0</v>
      </c>
      <c r="E13" s="13" t="s">
        <v>47</v>
      </c>
      <c r="F13" s="13">
        <f>'Paste here'!E13</f>
        <v>0</v>
      </c>
      <c r="G13" s="13">
        <f>'Paste here'!F13</f>
        <v>0</v>
      </c>
      <c r="H13" s="13">
        <f>'Paste here'!G13</f>
        <v>0</v>
      </c>
      <c r="I13" s="13">
        <f>'Paste here'!N13</f>
        <v>0</v>
      </c>
      <c r="J13" s="13" t="e">
        <f>IF(I13*VLOOKUP(H13,'Claim Amount'!$B$3:$J$24,4,FALSE)&lt;VLOOKUP(H13,'Claim Amount'!$B$3:$J$24,5,FALSE),VLOOKUP(H13,'Claim Amount'!$B$3:$J$24,5,FALSE),I13*VLOOKUP(H13,'Claim Amount'!$B$3:$J$24,4,FALSE))</f>
        <v>#N/A</v>
      </c>
      <c r="K13" s="13" t="e">
        <f>VLOOKUP(F13,'Claim Amount'!$B$3:$J$13,4,FALSE)</f>
        <v>#N/A</v>
      </c>
      <c r="L13" s="13" t="e">
        <f t="shared" si="0"/>
        <v>#N/A</v>
      </c>
      <c r="M13" s="61" t="e" cm="1">
        <f t="array" ref="M13">[1]!SPELLNUMBER(L13)</f>
        <v>#VALUE!</v>
      </c>
    </row>
    <row r="14" spans="1:13" s="1" customFormat="1" ht="18.600000000000001" customHeight="1" x14ac:dyDescent="0.25">
      <c r="A14" s="1" t="s">
        <v>60</v>
      </c>
      <c r="B14" s="13" t="s">
        <v>122</v>
      </c>
      <c r="C14" s="13">
        <f>'Paste here'!Y14</f>
        <v>0</v>
      </c>
      <c r="D14" s="13">
        <f>'Paste here'!Z14</f>
        <v>0</v>
      </c>
      <c r="E14" s="13" t="s">
        <v>47</v>
      </c>
      <c r="F14" s="13">
        <f>'Paste here'!E14</f>
        <v>0</v>
      </c>
      <c r="G14" s="13">
        <f>'Paste here'!F14</f>
        <v>0</v>
      </c>
      <c r="H14" s="13">
        <f>'Paste here'!G14</f>
        <v>0</v>
      </c>
      <c r="I14" s="13">
        <f>'Paste here'!N14</f>
        <v>0</v>
      </c>
      <c r="J14" s="13" t="e">
        <f>IF(I14*VLOOKUP(H14,'Claim Amount'!$B$3:$J$24,4,FALSE)&lt;VLOOKUP(H14,'Claim Amount'!$B$3:$J$24,5,FALSE),VLOOKUP(H14,'Claim Amount'!$B$3:$J$24,5,FALSE),I14*VLOOKUP(H14,'Claim Amount'!$B$3:$J$24,4,FALSE))</f>
        <v>#N/A</v>
      </c>
      <c r="K14" s="13" t="e">
        <f>VLOOKUP(F14,'Claim Amount'!$B$3:$J$13,4,FALSE)</f>
        <v>#N/A</v>
      </c>
      <c r="L14" s="13" t="e">
        <f t="shared" si="0"/>
        <v>#N/A</v>
      </c>
      <c r="M14" s="61" t="e" cm="1">
        <f t="array" ref="M14">[1]!SPELLNUMBER(L14)</f>
        <v>#VALUE!</v>
      </c>
    </row>
    <row r="15" spans="1:13" s="1" customFormat="1" ht="18.600000000000001" customHeight="1" x14ac:dyDescent="0.25">
      <c r="A15" s="1" t="s">
        <v>61</v>
      </c>
      <c r="B15" s="13" t="s">
        <v>122</v>
      </c>
      <c r="C15" s="13">
        <f>'Paste here'!Y15</f>
        <v>0</v>
      </c>
      <c r="D15" s="13">
        <f>'Paste here'!Z15</f>
        <v>0</v>
      </c>
      <c r="E15" s="13" t="s">
        <v>47</v>
      </c>
      <c r="F15" s="13">
        <f>'Paste here'!E15</f>
        <v>0</v>
      </c>
      <c r="G15" s="13">
        <f>'Paste here'!F15</f>
        <v>0</v>
      </c>
      <c r="H15" s="13">
        <f>'Paste here'!G15</f>
        <v>0</v>
      </c>
      <c r="I15" s="13">
        <f>'Paste here'!N15</f>
        <v>0</v>
      </c>
      <c r="J15" s="13" t="e">
        <f>IF(I15*VLOOKUP(H15,'Claim Amount'!$B$3:$J$24,4,FALSE)&lt;VLOOKUP(H15,'Claim Amount'!$B$3:$J$24,5,FALSE),VLOOKUP(H15,'Claim Amount'!$B$3:$J$24,5,FALSE),I15*VLOOKUP(H15,'Claim Amount'!$B$3:$J$24,4,FALSE))</f>
        <v>#N/A</v>
      </c>
      <c r="K15" s="13" t="e">
        <f>VLOOKUP(F15,'Claim Amount'!$B$3:$J$13,4,FALSE)</f>
        <v>#N/A</v>
      </c>
      <c r="L15" s="13" t="e">
        <f t="shared" si="0"/>
        <v>#N/A</v>
      </c>
      <c r="M15" s="61" t="e" cm="1">
        <f t="array" ref="M15">[1]!SPELLNUMBER(L15)</f>
        <v>#VALUE!</v>
      </c>
    </row>
    <row r="16" spans="1:13" s="1" customFormat="1" ht="18.600000000000001" customHeight="1" x14ac:dyDescent="0.25">
      <c r="A16" s="1" t="s">
        <v>62</v>
      </c>
      <c r="B16" s="13" t="s">
        <v>122</v>
      </c>
      <c r="C16" s="13">
        <f>'Paste here'!Y16</f>
        <v>0</v>
      </c>
      <c r="D16" s="13">
        <f>'Paste here'!Z16</f>
        <v>0</v>
      </c>
      <c r="E16" s="13" t="s">
        <v>47</v>
      </c>
      <c r="F16" s="13">
        <f>'Paste here'!E16</f>
        <v>0</v>
      </c>
      <c r="G16" s="13">
        <f>'Paste here'!F16</f>
        <v>0</v>
      </c>
      <c r="H16" s="13">
        <f>'Paste here'!G16</f>
        <v>0</v>
      </c>
      <c r="I16" s="13">
        <f>'Paste here'!N16</f>
        <v>0</v>
      </c>
      <c r="J16" s="13" t="e">
        <f>IF(I16*VLOOKUP(H16,'Claim Amount'!$B$3:$J$24,4,FALSE)&lt;VLOOKUP(H16,'Claim Amount'!$B$3:$J$24,5,FALSE),VLOOKUP(H16,'Claim Amount'!$B$3:$J$24,5,FALSE),I16*VLOOKUP(H16,'Claim Amount'!$B$3:$J$24,4,FALSE))</f>
        <v>#N/A</v>
      </c>
      <c r="K16" s="13" t="e">
        <f>VLOOKUP(F16,'Claim Amount'!$B$3:$J$13,4,FALSE)</f>
        <v>#N/A</v>
      </c>
      <c r="L16" s="13" t="e">
        <f t="shared" si="0"/>
        <v>#N/A</v>
      </c>
      <c r="M16" s="61" t="e" cm="1">
        <f t="array" ref="M16">[1]!SPELLNUMBER(L16)</f>
        <v>#VALUE!</v>
      </c>
    </row>
    <row r="17" spans="1:13" s="1" customFormat="1" ht="18.600000000000001" customHeight="1" x14ac:dyDescent="0.25">
      <c r="A17" s="1" t="s">
        <v>63</v>
      </c>
      <c r="B17" s="13" t="s">
        <v>122</v>
      </c>
      <c r="C17" s="13">
        <f>'Paste here'!Y17</f>
        <v>0</v>
      </c>
      <c r="D17" s="13">
        <f>'Paste here'!Z17</f>
        <v>0</v>
      </c>
      <c r="E17" s="13" t="s">
        <v>47</v>
      </c>
      <c r="F17" s="13">
        <f>'Paste here'!E17</f>
        <v>0</v>
      </c>
      <c r="G17" s="13">
        <f>'Paste here'!F17</f>
        <v>0</v>
      </c>
      <c r="H17" s="13">
        <f>'Paste here'!G17</f>
        <v>0</v>
      </c>
      <c r="I17" s="13">
        <f>'Paste here'!N17</f>
        <v>0</v>
      </c>
      <c r="J17" s="13" t="e">
        <f>IF(I17*VLOOKUP(H17,'Claim Amount'!$B$3:$J$24,4,FALSE)&lt;VLOOKUP(H17,'Claim Amount'!$B$3:$J$24,5,FALSE),VLOOKUP(H17,'Claim Amount'!$B$3:$J$24,5,FALSE),I17*VLOOKUP(H17,'Claim Amount'!$B$3:$J$24,4,FALSE))</f>
        <v>#N/A</v>
      </c>
      <c r="K17" s="13" t="e">
        <f>VLOOKUP(F17,'Claim Amount'!$B$3:$J$13,4,FALSE)</f>
        <v>#N/A</v>
      </c>
      <c r="L17" s="13" t="e">
        <f t="shared" si="0"/>
        <v>#N/A</v>
      </c>
      <c r="M17" s="61" t="e" cm="1">
        <f t="array" ref="M17">[1]!SPELLNUMBER(L17)</f>
        <v>#VALUE!</v>
      </c>
    </row>
    <row r="18" spans="1:13" s="1" customFormat="1" ht="18.600000000000001" customHeight="1" x14ac:dyDescent="0.25">
      <c r="A18" s="1" t="s">
        <v>64</v>
      </c>
      <c r="B18" s="13" t="s">
        <v>122</v>
      </c>
      <c r="C18" s="13">
        <f>'Paste here'!Y18</f>
        <v>0</v>
      </c>
      <c r="D18" s="13">
        <f>'Paste here'!Z18</f>
        <v>0</v>
      </c>
      <c r="E18" s="13" t="s">
        <v>47</v>
      </c>
      <c r="F18" s="13">
        <f>'Paste here'!E18</f>
        <v>0</v>
      </c>
      <c r="G18" s="13">
        <f>'Paste here'!F18</f>
        <v>0</v>
      </c>
      <c r="H18" s="13">
        <f>'Paste here'!G18</f>
        <v>0</v>
      </c>
      <c r="I18" s="13">
        <f>'Paste here'!N18</f>
        <v>0</v>
      </c>
      <c r="J18" s="13" t="e">
        <f>IF(I18*VLOOKUP(H18,'Claim Amount'!$B$3:$J$24,4,FALSE)&lt;VLOOKUP(H18,'Claim Amount'!$B$3:$J$24,5,FALSE),VLOOKUP(H18,'Claim Amount'!$B$3:$J$24,5,FALSE),I18*VLOOKUP(H18,'Claim Amount'!$B$3:$J$24,4,FALSE))</f>
        <v>#N/A</v>
      </c>
      <c r="K18" s="13" t="e">
        <f>VLOOKUP(F18,'Claim Amount'!$B$3:$J$13,4,FALSE)</f>
        <v>#N/A</v>
      </c>
      <c r="L18" s="13" t="e">
        <f t="shared" si="0"/>
        <v>#N/A</v>
      </c>
      <c r="M18" s="61" t="e" cm="1">
        <f t="array" ref="M18">[1]!SPELLNUMBER(L18)</f>
        <v>#VALUE!</v>
      </c>
    </row>
    <row r="19" spans="1:13" s="1" customFormat="1" ht="18.600000000000001" customHeight="1" x14ac:dyDescent="0.25">
      <c r="A19" s="1" t="s">
        <v>65</v>
      </c>
      <c r="B19" s="13" t="s">
        <v>122</v>
      </c>
      <c r="C19" s="13">
        <f>'Paste here'!Y19</f>
        <v>0</v>
      </c>
      <c r="D19" s="13">
        <f>'Paste here'!Z19</f>
        <v>0</v>
      </c>
      <c r="E19" s="13" t="s">
        <v>47</v>
      </c>
      <c r="F19" s="13">
        <f>'Paste here'!E19</f>
        <v>0</v>
      </c>
      <c r="G19" s="13">
        <f>'Paste here'!F19</f>
        <v>0</v>
      </c>
      <c r="H19" s="13">
        <f>'Paste here'!G19</f>
        <v>0</v>
      </c>
      <c r="I19" s="13">
        <f>'Paste here'!N19</f>
        <v>0</v>
      </c>
      <c r="J19" s="13" t="e">
        <f>IF(I19*VLOOKUP(H19,'Claim Amount'!$B$3:$J$24,4,FALSE)&lt;VLOOKUP(H19,'Claim Amount'!$B$3:$J$24,5,FALSE),VLOOKUP(H19,'Claim Amount'!$B$3:$J$24,5,FALSE),I19*VLOOKUP(H19,'Claim Amount'!$B$3:$J$24,4,FALSE))</f>
        <v>#N/A</v>
      </c>
      <c r="K19" s="13" t="e">
        <f>VLOOKUP(F19,'Claim Amount'!$B$3:$J$13,4,FALSE)</f>
        <v>#N/A</v>
      </c>
      <c r="L19" s="13" t="e">
        <f t="shared" si="0"/>
        <v>#N/A</v>
      </c>
      <c r="M19" s="61" t="e" cm="1">
        <f t="array" ref="M19">[1]!SPELLNUMBER(L19)</f>
        <v>#VALUE!</v>
      </c>
    </row>
    <row r="20" spans="1:13" s="1" customFormat="1" ht="18.600000000000001" customHeight="1" x14ac:dyDescent="0.25">
      <c r="A20" s="1" t="s">
        <v>66</v>
      </c>
      <c r="B20" s="13" t="s">
        <v>122</v>
      </c>
      <c r="C20" s="13">
        <f>'Paste here'!Y20</f>
        <v>0</v>
      </c>
      <c r="D20" s="13">
        <f>'Paste here'!Z20</f>
        <v>0</v>
      </c>
      <c r="E20" s="13" t="s">
        <v>47</v>
      </c>
      <c r="F20" s="13">
        <f>'Paste here'!E20</f>
        <v>0</v>
      </c>
      <c r="G20" s="13">
        <f>'Paste here'!F20</f>
        <v>0</v>
      </c>
      <c r="H20" s="13">
        <f>'Paste here'!G20</f>
        <v>0</v>
      </c>
      <c r="I20" s="13">
        <f>'Paste here'!N20</f>
        <v>0</v>
      </c>
      <c r="J20" s="13" t="e">
        <f>IF(I20*VLOOKUP(H20,'Claim Amount'!$B$3:$J$24,4,FALSE)&lt;VLOOKUP(H20,'Claim Amount'!$B$3:$J$24,5,FALSE),VLOOKUP(H20,'Claim Amount'!$B$3:$J$24,5,FALSE),I20*VLOOKUP(H20,'Claim Amount'!$B$3:$J$24,4,FALSE))</f>
        <v>#N/A</v>
      </c>
      <c r="K20" s="13" t="e">
        <f>VLOOKUP(F20,'Claim Amount'!$B$3:$J$13,4,FALSE)</f>
        <v>#N/A</v>
      </c>
      <c r="L20" s="13" t="e">
        <f t="shared" si="0"/>
        <v>#N/A</v>
      </c>
      <c r="M20" s="61" t="e" cm="1">
        <f t="array" ref="M20">[1]!SPELLNUMBER(L20)</f>
        <v>#VALUE!</v>
      </c>
    </row>
    <row r="21" spans="1:13" s="1" customFormat="1" ht="18.600000000000001" customHeight="1" x14ac:dyDescent="0.25">
      <c r="A21" s="1" t="s">
        <v>67</v>
      </c>
      <c r="B21" s="13" t="s">
        <v>122</v>
      </c>
      <c r="C21" s="13">
        <f>'Paste here'!Y21</f>
        <v>0</v>
      </c>
      <c r="D21" s="13">
        <f>'Paste here'!Z21</f>
        <v>0</v>
      </c>
      <c r="E21" s="13" t="s">
        <v>47</v>
      </c>
      <c r="F21" s="13">
        <f>'Paste here'!E21</f>
        <v>0</v>
      </c>
      <c r="G21" s="13">
        <f>'Paste here'!F21</f>
        <v>0</v>
      </c>
      <c r="H21" s="13">
        <f>'Paste here'!G21</f>
        <v>0</v>
      </c>
      <c r="I21" s="13">
        <f>'Paste here'!N21</f>
        <v>0</v>
      </c>
      <c r="J21" s="13" t="e">
        <f>IF(I21*VLOOKUP(H21,'Claim Amount'!$B$3:$J$24,4,FALSE)&lt;VLOOKUP(H21,'Claim Amount'!$B$3:$J$24,5,FALSE),VLOOKUP(H21,'Claim Amount'!$B$3:$J$24,5,FALSE),I21*VLOOKUP(H21,'Claim Amount'!$B$3:$J$24,4,FALSE))</f>
        <v>#N/A</v>
      </c>
      <c r="K21" s="13" t="e">
        <f>VLOOKUP(F21,'Claim Amount'!$B$3:$J$13,4,FALSE)</f>
        <v>#N/A</v>
      </c>
      <c r="L21" s="13" t="e">
        <f t="shared" si="0"/>
        <v>#N/A</v>
      </c>
      <c r="M21" s="61" t="e" cm="1">
        <f t="array" ref="M21">[1]!SPELLNUMBER(L21)</f>
        <v>#VALUE!</v>
      </c>
    </row>
    <row r="22" spans="1:13" s="1" customFormat="1" ht="18.600000000000001" customHeight="1" x14ac:dyDescent="0.25">
      <c r="A22" s="1" t="s">
        <v>68</v>
      </c>
      <c r="B22" s="13" t="s">
        <v>122</v>
      </c>
      <c r="C22" s="13">
        <f>'Paste here'!Y22</f>
        <v>0</v>
      </c>
      <c r="D22" s="13">
        <f>'Paste here'!Z22</f>
        <v>0</v>
      </c>
      <c r="E22" s="13" t="s">
        <v>47</v>
      </c>
      <c r="F22" s="13">
        <f>'Paste here'!E22</f>
        <v>0</v>
      </c>
      <c r="G22" s="13">
        <f>'Paste here'!F22</f>
        <v>0</v>
      </c>
      <c r="H22" s="13">
        <f>'Paste here'!G22</f>
        <v>0</v>
      </c>
      <c r="I22" s="13">
        <f>'Paste here'!N22</f>
        <v>0</v>
      </c>
      <c r="J22" s="13" t="e">
        <f>IF(I22*VLOOKUP(H22,'Claim Amount'!$B$3:$J$24,4,FALSE)&lt;VLOOKUP(H22,'Claim Amount'!$B$3:$J$24,5,FALSE),VLOOKUP(H22,'Claim Amount'!$B$3:$J$24,5,FALSE),I22*VLOOKUP(H22,'Claim Amount'!$B$3:$J$24,4,FALSE))</f>
        <v>#N/A</v>
      </c>
      <c r="K22" s="13" t="e">
        <f>VLOOKUP(F22,'Claim Amount'!$B$3:$J$13,4,FALSE)</f>
        <v>#N/A</v>
      </c>
      <c r="L22" s="13" t="e">
        <f t="shared" si="0"/>
        <v>#N/A</v>
      </c>
      <c r="M22" s="61" t="e" cm="1">
        <f t="array" ref="M22">[1]!SPELLNUMBER(L22)</f>
        <v>#VALUE!</v>
      </c>
    </row>
    <row r="23" spans="1:13" s="1" customFormat="1" ht="18.600000000000001" customHeight="1" x14ac:dyDescent="0.25">
      <c r="A23" s="1" t="s">
        <v>69</v>
      </c>
      <c r="B23" s="13" t="s">
        <v>122</v>
      </c>
      <c r="C23" s="13">
        <f>'Paste here'!Y23</f>
        <v>0</v>
      </c>
      <c r="D23" s="13">
        <f>'Paste here'!Z23</f>
        <v>0</v>
      </c>
      <c r="E23" s="13" t="s">
        <v>47</v>
      </c>
      <c r="F23" s="13">
        <f>'Paste here'!E23</f>
        <v>0</v>
      </c>
      <c r="G23" s="13">
        <f>'Paste here'!F23</f>
        <v>0</v>
      </c>
      <c r="H23" s="13">
        <f>'Paste here'!G23</f>
        <v>0</v>
      </c>
      <c r="I23" s="13">
        <f>'Paste here'!N23</f>
        <v>0</v>
      </c>
      <c r="J23" s="13" t="e">
        <f>IF(I23*VLOOKUP(H23,'Claim Amount'!$B$3:$J$24,4,FALSE)&lt;VLOOKUP(H23,'Claim Amount'!$B$3:$J$24,5,FALSE),VLOOKUP(H23,'Claim Amount'!$B$3:$J$24,5,FALSE),I23*VLOOKUP(H23,'Claim Amount'!$B$3:$J$24,4,FALSE))</f>
        <v>#N/A</v>
      </c>
      <c r="K23" s="13" t="e">
        <f>VLOOKUP(F23,'Claim Amount'!$B$3:$J$13,4,FALSE)</f>
        <v>#N/A</v>
      </c>
      <c r="L23" s="13" t="e">
        <f t="shared" si="0"/>
        <v>#N/A</v>
      </c>
      <c r="M23" s="61" t="e" cm="1">
        <f t="array" ref="M23">[1]!SPELLNUMBER(L23)</f>
        <v>#VALUE!</v>
      </c>
    </row>
    <row r="24" spans="1:13" s="1" customFormat="1" ht="18.600000000000001" customHeight="1" x14ac:dyDescent="0.25">
      <c r="A24" s="1" t="s">
        <v>70</v>
      </c>
      <c r="B24" s="13" t="s">
        <v>122</v>
      </c>
      <c r="C24" s="13">
        <f>'Paste here'!Y24</f>
        <v>0</v>
      </c>
      <c r="D24" s="13">
        <f>'Paste here'!Z24</f>
        <v>0</v>
      </c>
      <c r="E24" s="13" t="s">
        <v>47</v>
      </c>
      <c r="F24" s="13">
        <f>'Paste here'!E24</f>
        <v>0</v>
      </c>
      <c r="G24" s="13">
        <f>'Paste here'!F24</f>
        <v>0</v>
      </c>
      <c r="H24" s="13">
        <f>'Paste here'!G24</f>
        <v>0</v>
      </c>
      <c r="I24" s="13">
        <f>'Paste here'!N24</f>
        <v>0</v>
      </c>
      <c r="J24" s="13" t="e">
        <f>IF(I24*VLOOKUP(H24,'Claim Amount'!$B$3:$J$24,4,FALSE)&lt;VLOOKUP(H24,'Claim Amount'!$B$3:$J$24,5,FALSE),VLOOKUP(H24,'Claim Amount'!$B$3:$J$24,5,FALSE),I24*VLOOKUP(H24,'Claim Amount'!$B$3:$J$24,4,FALSE))</f>
        <v>#N/A</v>
      </c>
      <c r="K24" s="13" t="e">
        <f>VLOOKUP(F24,'Claim Amount'!$B$3:$J$13,4,FALSE)</f>
        <v>#N/A</v>
      </c>
      <c r="L24" s="13" t="e">
        <f t="shared" si="0"/>
        <v>#N/A</v>
      </c>
      <c r="M24" s="61" t="e" cm="1">
        <f t="array" ref="M24">[1]!SPELLNUMBER(L24)</f>
        <v>#VALUE!</v>
      </c>
    </row>
    <row r="25" spans="1:13" s="1" customFormat="1" ht="18.600000000000001" customHeight="1" x14ac:dyDescent="0.25">
      <c r="A25" s="1" t="s">
        <v>71</v>
      </c>
      <c r="B25" s="13" t="s">
        <v>122</v>
      </c>
      <c r="C25" s="13">
        <f>'Paste here'!Y25</f>
        <v>0</v>
      </c>
      <c r="D25" s="13">
        <f>'Paste here'!Z25</f>
        <v>0</v>
      </c>
      <c r="E25" s="13" t="s">
        <v>47</v>
      </c>
      <c r="F25" s="13">
        <f>'Paste here'!E25</f>
        <v>0</v>
      </c>
      <c r="G25" s="13">
        <f>'Paste here'!F25</f>
        <v>0</v>
      </c>
      <c r="H25" s="13">
        <f>'Paste here'!G25</f>
        <v>0</v>
      </c>
      <c r="I25" s="13">
        <f>'Paste here'!N25</f>
        <v>0</v>
      </c>
      <c r="J25" s="13" t="e">
        <f>IF(I25*VLOOKUP(H25,'Claim Amount'!$B$3:$J$24,4,FALSE)&lt;VLOOKUP(H25,'Claim Amount'!$B$3:$J$24,5,FALSE),VLOOKUP(H25,'Claim Amount'!$B$3:$J$24,5,FALSE),I25*VLOOKUP(H25,'Claim Amount'!$B$3:$J$24,4,FALSE))</f>
        <v>#N/A</v>
      </c>
      <c r="K25" s="13" t="e">
        <f>VLOOKUP(F25,'Claim Amount'!$B$3:$J$13,4,FALSE)</f>
        <v>#N/A</v>
      </c>
      <c r="L25" s="13" t="e">
        <f t="shared" si="0"/>
        <v>#N/A</v>
      </c>
      <c r="M25" s="61" t="e" cm="1">
        <f t="array" ref="M25">[1]!SPELLNUMBER(L25)</f>
        <v>#VALUE!</v>
      </c>
    </row>
    <row r="26" spans="1:13" s="1" customFormat="1" ht="18.600000000000001" customHeight="1" x14ac:dyDescent="0.25">
      <c r="A26" s="1" t="s">
        <v>72</v>
      </c>
      <c r="B26" s="13" t="s">
        <v>122</v>
      </c>
      <c r="C26" s="13">
        <f>'Paste here'!Y26</f>
        <v>0</v>
      </c>
      <c r="D26" s="13">
        <f>'Paste here'!Z26</f>
        <v>0</v>
      </c>
      <c r="E26" s="13" t="s">
        <v>47</v>
      </c>
      <c r="F26" s="13">
        <f>'Paste here'!E26</f>
        <v>0</v>
      </c>
      <c r="G26" s="13">
        <f>'Paste here'!F26</f>
        <v>0</v>
      </c>
      <c r="H26" s="13">
        <f>'Paste here'!G26</f>
        <v>0</v>
      </c>
      <c r="I26" s="13">
        <f>'Paste here'!N26</f>
        <v>0</v>
      </c>
      <c r="J26" s="13" t="e">
        <f>IF(I26*VLOOKUP(H26,'Claim Amount'!$B$3:$J$24,4,FALSE)&lt;VLOOKUP(H26,'Claim Amount'!$B$3:$J$24,5,FALSE),VLOOKUP(H26,'Claim Amount'!$B$3:$J$24,5,FALSE),I26*VLOOKUP(H26,'Claim Amount'!$B$3:$J$24,4,FALSE))</f>
        <v>#N/A</v>
      </c>
      <c r="K26" s="13" t="e">
        <f>VLOOKUP(F26,'Claim Amount'!$B$3:$J$13,4,FALSE)</f>
        <v>#N/A</v>
      </c>
      <c r="L26" s="13" t="e">
        <f t="shared" si="0"/>
        <v>#N/A</v>
      </c>
      <c r="M26" s="61" t="e" cm="1">
        <f t="array" ref="M26">[1]!SPELLNUMBER(L26)</f>
        <v>#VALUE!</v>
      </c>
    </row>
    <row r="27" spans="1:13" s="1" customFormat="1" ht="18.600000000000001" customHeight="1" x14ac:dyDescent="0.25">
      <c r="A27" s="1" t="s">
        <v>73</v>
      </c>
      <c r="B27" s="13" t="s">
        <v>122</v>
      </c>
      <c r="C27" s="13">
        <f>'Paste here'!Y27</f>
        <v>0</v>
      </c>
      <c r="D27" s="13">
        <f>'Paste here'!Z27</f>
        <v>0</v>
      </c>
      <c r="E27" s="13" t="s">
        <v>47</v>
      </c>
      <c r="F27" s="13">
        <f>'Paste here'!E27</f>
        <v>0</v>
      </c>
      <c r="G27" s="13">
        <f>'Paste here'!F27</f>
        <v>0</v>
      </c>
      <c r="H27" s="13">
        <f>'Paste here'!G27</f>
        <v>0</v>
      </c>
      <c r="I27" s="13">
        <f>'Paste here'!N27</f>
        <v>0</v>
      </c>
      <c r="J27" s="13" t="e">
        <f>IF(I27*VLOOKUP(H27,'Claim Amount'!$B$3:$J$24,4,FALSE)&lt;VLOOKUP(H27,'Claim Amount'!$B$3:$J$24,5,FALSE),VLOOKUP(H27,'Claim Amount'!$B$3:$J$24,5,FALSE),I27*VLOOKUP(H27,'Claim Amount'!$B$3:$J$24,4,FALSE))</f>
        <v>#N/A</v>
      </c>
      <c r="K27" s="13" t="e">
        <f>VLOOKUP(F27,'Claim Amount'!$B$3:$J$13,4,FALSE)</f>
        <v>#N/A</v>
      </c>
      <c r="L27" s="13" t="e">
        <f t="shared" si="0"/>
        <v>#N/A</v>
      </c>
      <c r="M27" s="61" t="e" cm="1">
        <f t="array" ref="M27">[1]!SPELLNUMBER(L27)</f>
        <v>#VALUE!</v>
      </c>
    </row>
    <row r="28" spans="1:13" s="1" customFormat="1" ht="18.600000000000001" customHeight="1" x14ac:dyDescent="0.25">
      <c r="A28" s="1" t="s">
        <v>74</v>
      </c>
      <c r="B28" s="13" t="s">
        <v>122</v>
      </c>
      <c r="C28" s="13">
        <f>'Paste here'!Y28</f>
        <v>0</v>
      </c>
      <c r="D28" s="13">
        <f>'Paste here'!Z28</f>
        <v>0</v>
      </c>
      <c r="E28" s="13" t="s">
        <v>47</v>
      </c>
      <c r="F28" s="13">
        <f>'Paste here'!E28</f>
        <v>0</v>
      </c>
      <c r="G28" s="13">
        <f>'Paste here'!F28</f>
        <v>0</v>
      </c>
      <c r="H28" s="13">
        <f>'Paste here'!G28</f>
        <v>0</v>
      </c>
      <c r="I28" s="13">
        <f>'Paste here'!N28</f>
        <v>0</v>
      </c>
      <c r="J28" s="13" t="e">
        <f>IF(I28*VLOOKUP(H28,'Claim Amount'!$B$3:$J$24,4,FALSE)&lt;VLOOKUP(H28,'Claim Amount'!$B$3:$J$24,5,FALSE),VLOOKUP(H28,'Claim Amount'!$B$3:$J$24,5,FALSE),I28*VLOOKUP(H28,'Claim Amount'!$B$3:$J$24,4,FALSE))</f>
        <v>#N/A</v>
      </c>
      <c r="K28" s="13" t="e">
        <f>VLOOKUP(F28,'Claim Amount'!$B$3:$J$13,4,FALSE)</f>
        <v>#N/A</v>
      </c>
      <c r="L28" s="13" t="e">
        <f t="shared" si="0"/>
        <v>#N/A</v>
      </c>
      <c r="M28" s="61" t="e" cm="1">
        <f t="array" ref="M28">[1]!SPELLNUMBER(L28)</f>
        <v>#VALUE!</v>
      </c>
    </row>
    <row r="29" spans="1:13" s="1" customFormat="1" ht="18.600000000000001" customHeight="1" x14ac:dyDescent="0.25">
      <c r="A29" s="1" t="s">
        <v>75</v>
      </c>
      <c r="B29" s="13" t="s">
        <v>122</v>
      </c>
      <c r="C29" s="13">
        <f>'Paste here'!Y29</f>
        <v>0</v>
      </c>
      <c r="D29" s="13">
        <f>'Paste here'!Z29</f>
        <v>0</v>
      </c>
      <c r="E29" s="13" t="s">
        <v>47</v>
      </c>
      <c r="F29" s="13">
        <f>'Paste here'!E29</f>
        <v>0</v>
      </c>
      <c r="G29" s="13">
        <f>'Paste here'!F29</f>
        <v>0</v>
      </c>
      <c r="H29" s="13">
        <f>'Paste here'!G29</f>
        <v>0</v>
      </c>
      <c r="I29" s="13">
        <f>'Paste here'!N29</f>
        <v>0</v>
      </c>
      <c r="J29" s="13" t="e">
        <f>IF(I29*VLOOKUP(H29,'Claim Amount'!$B$3:$J$24,4,FALSE)&lt;VLOOKUP(H29,'Claim Amount'!$B$3:$J$24,5,FALSE),VLOOKUP(H29,'Claim Amount'!$B$3:$J$24,5,FALSE),I29*VLOOKUP(H29,'Claim Amount'!$B$3:$J$24,4,FALSE))</f>
        <v>#N/A</v>
      </c>
      <c r="K29" s="13" t="e">
        <f>VLOOKUP(F29,'Claim Amount'!$B$3:$J$13,4,FALSE)</f>
        <v>#N/A</v>
      </c>
      <c r="L29" s="13" t="e">
        <f t="shared" si="0"/>
        <v>#N/A</v>
      </c>
      <c r="M29" s="61" t="e" cm="1">
        <f t="array" ref="M29">[1]!SPELLNUMBER(L29)</f>
        <v>#VALUE!</v>
      </c>
    </row>
    <row r="30" spans="1:13" s="1" customFormat="1" ht="18.600000000000001" customHeight="1" x14ac:dyDescent="0.25">
      <c r="A30" s="1" t="s">
        <v>76</v>
      </c>
      <c r="B30" s="13" t="s">
        <v>122</v>
      </c>
      <c r="C30" s="13">
        <f>'Paste here'!Y30</f>
        <v>0</v>
      </c>
      <c r="D30" s="13">
        <f>'Paste here'!Z30</f>
        <v>0</v>
      </c>
      <c r="E30" s="13" t="s">
        <v>47</v>
      </c>
      <c r="F30" s="13">
        <f>'Paste here'!E30</f>
        <v>0</v>
      </c>
      <c r="G30" s="13">
        <f>'Paste here'!F30</f>
        <v>0</v>
      </c>
      <c r="H30" s="13">
        <f>'Paste here'!G30</f>
        <v>0</v>
      </c>
      <c r="I30" s="13">
        <f>'Paste here'!N30</f>
        <v>0</v>
      </c>
      <c r="J30" s="13" t="e">
        <f>IF(I30*VLOOKUP(H30,'Claim Amount'!$B$3:$J$24,4,FALSE)&lt;VLOOKUP(H30,'Claim Amount'!$B$3:$J$24,5,FALSE),VLOOKUP(H30,'Claim Amount'!$B$3:$J$24,5,FALSE),I30*VLOOKUP(H30,'Claim Amount'!$B$3:$J$24,4,FALSE))</f>
        <v>#N/A</v>
      </c>
      <c r="K30" s="13" t="e">
        <f>VLOOKUP(F30,'Claim Amount'!$B$3:$J$13,4,FALSE)</f>
        <v>#N/A</v>
      </c>
      <c r="L30" s="13" t="e">
        <f t="shared" si="0"/>
        <v>#N/A</v>
      </c>
      <c r="M30" s="61" t="e" cm="1">
        <f t="array" ref="M30">[1]!SPELLNUMBER(L30)</f>
        <v>#VALUE!</v>
      </c>
    </row>
    <row r="31" spans="1:13" s="1" customFormat="1" ht="18.600000000000001" customHeight="1" x14ac:dyDescent="0.25">
      <c r="A31" s="1" t="s">
        <v>77</v>
      </c>
      <c r="B31" s="13" t="s">
        <v>122</v>
      </c>
      <c r="C31" s="13">
        <f>'Paste here'!Y31</f>
        <v>0</v>
      </c>
      <c r="D31" s="13">
        <f>'Paste here'!Z31</f>
        <v>0</v>
      </c>
      <c r="E31" s="13" t="s">
        <v>47</v>
      </c>
      <c r="F31" s="13">
        <f>'Paste here'!E31</f>
        <v>0</v>
      </c>
      <c r="G31" s="13">
        <f>'Paste here'!F31</f>
        <v>0</v>
      </c>
      <c r="H31" s="13">
        <f>'Paste here'!G31</f>
        <v>0</v>
      </c>
      <c r="I31" s="13">
        <f>'Paste here'!N31</f>
        <v>0</v>
      </c>
      <c r="J31" s="13" t="e">
        <f>IF(I31*VLOOKUP(H31,'Claim Amount'!$B$3:$J$24,4,FALSE)&lt;VLOOKUP(H31,'Claim Amount'!$B$3:$J$24,5,FALSE),VLOOKUP(H31,'Claim Amount'!$B$3:$J$24,5,FALSE),I31*VLOOKUP(H31,'Claim Amount'!$B$3:$J$24,4,FALSE))</f>
        <v>#N/A</v>
      </c>
      <c r="K31" s="13" t="e">
        <f>VLOOKUP(F31,'Claim Amount'!$B$3:$J$13,4,FALSE)</f>
        <v>#N/A</v>
      </c>
      <c r="L31" s="13" t="e">
        <f t="shared" si="0"/>
        <v>#N/A</v>
      </c>
      <c r="M31" s="61" t="e" cm="1">
        <f t="array" ref="M31">[1]!SPELLNUMBER(L31)</f>
        <v>#VALUE!</v>
      </c>
    </row>
    <row r="32" spans="1:13" s="1" customFormat="1" ht="18.600000000000001" customHeight="1" x14ac:dyDescent="0.25">
      <c r="A32" s="1" t="s">
        <v>80</v>
      </c>
      <c r="B32" s="13" t="s">
        <v>122</v>
      </c>
      <c r="C32" s="13">
        <f>'Paste here'!Y32</f>
        <v>0</v>
      </c>
      <c r="D32" s="13">
        <f>'Paste here'!Z32</f>
        <v>0</v>
      </c>
      <c r="E32" s="13" t="s">
        <v>47</v>
      </c>
      <c r="F32" s="13">
        <f>'Paste here'!E32</f>
        <v>0</v>
      </c>
      <c r="G32" s="13">
        <f>'Paste here'!F32</f>
        <v>0</v>
      </c>
      <c r="H32" s="13">
        <f>'Paste here'!G32</f>
        <v>0</v>
      </c>
      <c r="I32" s="13">
        <f>'Paste here'!N32</f>
        <v>0</v>
      </c>
      <c r="J32" s="13" t="e">
        <f>IF(I32*VLOOKUP(H32,'Claim Amount'!$B$3:$J$24,4,FALSE)&lt;VLOOKUP(H32,'Claim Amount'!$B$3:$J$24,5,FALSE),VLOOKUP(H32,'Claim Amount'!$B$3:$J$24,5,FALSE),I32*VLOOKUP(H32,'Claim Amount'!$B$3:$J$24,4,FALSE))</f>
        <v>#N/A</v>
      </c>
      <c r="K32" s="13" t="e">
        <f>VLOOKUP(F32,'Claim Amount'!$B$3:$J$13,4,FALSE)</f>
        <v>#N/A</v>
      </c>
      <c r="L32" s="13" t="e">
        <f t="shared" si="0"/>
        <v>#N/A</v>
      </c>
      <c r="M32" s="61" t="e" cm="1">
        <f t="array" ref="M32">[1]!SPELLNUMBER(L32)</f>
        <v>#VALUE!</v>
      </c>
    </row>
    <row r="33" spans="1:13" s="1" customFormat="1" ht="18.600000000000001" customHeight="1" x14ac:dyDescent="0.25">
      <c r="A33" s="1" t="s">
        <v>81</v>
      </c>
      <c r="B33" s="13" t="s">
        <v>122</v>
      </c>
      <c r="C33" s="13">
        <f>'Paste here'!Y33</f>
        <v>0</v>
      </c>
      <c r="D33" s="13">
        <f>'Paste here'!Z33</f>
        <v>0</v>
      </c>
      <c r="E33" s="13" t="s">
        <v>47</v>
      </c>
      <c r="F33" s="13">
        <f>'Paste here'!E33</f>
        <v>0</v>
      </c>
      <c r="G33" s="13">
        <f>'Paste here'!F33</f>
        <v>0</v>
      </c>
      <c r="H33" s="13">
        <f>'Paste here'!G33</f>
        <v>0</v>
      </c>
      <c r="I33" s="13">
        <f>'Paste here'!N33</f>
        <v>0</v>
      </c>
      <c r="J33" s="13" t="e">
        <f>IF(I33*VLOOKUP(H33,'Claim Amount'!$B$3:$J$24,4,FALSE)&lt;VLOOKUP(H33,'Claim Amount'!$B$3:$J$24,5,FALSE),VLOOKUP(H33,'Claim Amount'!$B$3:$J$24,5,FALSE),I33*VLOOKUP(H33,'Claim Amount'!$B$3:$J$24,4,FALSE))</f>
        <v>#N/A</v>
      </c>
      <c r="K33" s="13" t="e">
        <f>VLOOKUP(F33,'Claim Amount'!$B$3:$J$13,4,FALSE)</f>
        <v>#N/A</v>
      </c>
      <c r="L33" s="13" t="e">
        <f t="shared" si="0"/>
        <v>#N/A</v>
      </c>
      <c r="M33" s="61" t="e" cm="1">
        <f t="array" ref="M33">[1]!SPELLNUMBER(L33)</f>
        <v>#VALUE!</v>
      </c>
    </row>
    <row r="34" spans="1:13" s="1" customFormat="1" ht="18.600000000000001" customHeight="1" x14ac:dyDescent="0.25">
      <c r="A34" s="1" t="s">
        <v>82</v>
      </c>
      <c r="B34" s="13" t="s">
        <v>122</v>
      </c>
      <c r="C34" s="13">
        <f>'Paste here'!Y34</f>
        <v>0</v>
      </c>
      <c r="D34" s="13">
        <f>'Paste here'!Z34</f>
        <v>0</v>
      </c>
      <c r="E34" s="13" t="s">
        <v>47</v>
      </c>
      <c r="F34" s="13">
        <f>'Paste here'!E34</f>
        <v>0</v>
      </c>
      <c r="G34" s="13">
        <f>'Paste here'!F34</f>
        <v>0</v>
      </c>
      <c r="H34" s="13">
        <f>'Paste here'!G34</f>
        <v>0</v>
      </c>
      <c r="I34" s="13">
        <f>'Paste here'!N34</f>
        <v>0</v>
      </c>
      <c r="J34" s="13" t="e">
        <f>IF(I34*VLOOKUP(H34,'Claim Amount'!$B$3:$J$24,4,FALSE)&lt;VLOOKUP(H34,'Claim Amount'!$B$3:$J$24,5,FALSE),VLOOKUP(H34,'Claim Amount'!$B$3:$J$24,5,FALSE),I34*VLOOKUP(H34,'Claim Amount'!$B$3:$J$24,4,FALSE))</f>
        <v>#N/A</v>
      </c>
      <c r="K34" s="13" t="e">
        <f>VLOOKUP(F34,'Claim Amount'!$B$3:$J$13,4,FALSE)</f>
        <v>#N/A</v>
      </c>
      <c r="L34" s="13" t="e">
        <f t="shared" si="0"/>
        <v>#N/A</v>
      </c>
      <c r="M34" s="61" t="e" cm="1">
        <f t="array" ref="M34">[1]!SPELLNUMBER(L34)</f>
        <v>#VALUE!</v>
      </c>
    </row>
    <row r="35" spans="1:13" s="1" customFormat="1" ht="18.600000000000001" customHeight="1" x14ac:dyDescent="0.25">
      <c r="A35" s="1" t="s">
        <v>83</v>
      </c>
      <c r="B35" s="13" t="s">
        <v>122</v>
      </c>
      <c r="C35" s="13">
        <f>'Paste here'!Y35</f>
        <v>0</v>
      </c>
      <c r="D35" s="13">
        <f>'Paste here'!Z35</f>
        <v>0</v>
      </c>
      <c r="E35" s="13" t="s">
        <v>47</v>
      </c>
      <c r="F35" s="13">
        <f>'Paste here'!E35</f>
        <v>0</v>
      </c>
      <c r="G35" s="13">
        <f>'Paste here'!F35</f>
        <v>0</v>
      </c>
      <c r="H35" s="13">
        <f>'Paste here'!G35</f>
        <v>0</v>
      </c>
      <c r="I35" s="13">
        <f>'Paste here'!N35</f>
        <v>0</v>
      </c>
      <c r="J35" s="13" t="e">
        <f>IF(I35*VLOOKUP(H35,'Claim Amount'!$B$3:$J$24,4,FALSE)&lt;VLOOKUP(H35,'Claim Amount'!$B$3:$J$24,5,FALSE),VLOOKUP(H35,'Claim Amount'!$B$3:$J$24,5,FALSE),I35*VLOOKUP(H35,'Claim Amount'!$B$3:$J$24,4,FALSE))</f>
        <v>#N/A</v>
      </c>
      <c r="K35" s="13" t="e">
        <f>VLOOKUP(F35,'Claim Amount'!$B$3:$J$13,4,FALSE)</f>
        <v>#N/A</v>
      </c>
      <c r="L35" s="13" t="e">
        <f t="shared" si="0"/>
        <v>#N/A</v>
      </c>
      <c r="M35" s="61" t="e" cm="1">
        <f t="array" ref="M35">[1]!SPELLNUMBER(L35)</f>
        <v>#VALUE!</v>
      </c>
    </row>
    <row r="36" spans="1:13" s="1" customFormat="1" ht="18.600000000000001" customHeight="1" x14ac:dyDescent="0.25">
      <c r="A36" s="1" t="s">
        <v>84</v>
      </c>
      <c r="B36" s="13" t="s">
        <v>122</v>
      </c>
      <c r="C36" s="13">
        <f>'Paste here'!Y36</f>
        <v>0</v>
      </c>
      <c r="D36" s="13">
        <f>'Paste here'!Z36</f>
        <v>0</v>
      </c>
      <c r="E36" s="13" t="s">
        <v>47</v>
      </c>
      <c r="F36" s="13">
        <f>'Paste here'!E36</f>
        <v>0</v>
      </c>
      <c r="G36" s="13">
        <f>'Paste here'!F36</f>
        <v>0</v>
      </c>
      <c r="H36" s="13">
        <f>'Paste here'!G36</f>
        <v>0</v>
      </c>
      <c r="I36" s="13">
        <f>'Paste here'!N36</f>
        <v>0</v>
      </c>
      <c r="J36" s="13" t="e">
        <f>IF(I36*VLOOKUP(H36,'Claim Amount'!$B$3:$J$24,4,FALSE)&lt;VLOOKUP(H36,'Claim Amount'!$B$3:$J$24,5,FALSE),VLOOKUP(H36,'Claim Amount'!$B$3:$J$24,5,FALSE),I36*VLOOKUP(H36,'Claim Amount'!$B$3:$J$24,4,FALSE))</f>
        <v>#N/A</v>
      </c>
      <c r="K36" s="13" t="e">
        <f>VLOOKUP(F36,'Claim Amount'!$B$3:$J$13,4,FALSE)</f>
        <v>#N/A</v>
      </c>
      <c r="L36" s="13" t="e">
        <f t="shared" si="0"/>
        <v>#N/A</v>
      </c>
      <c r="M36" s="61" t="e" cm="1">
        <f t="array" ref="M36">[1]!SPELLNUMBER(L36)</f>
        <v>#VALUE!</v>
      </c>
    </row>
    <row r="37" spans="1:13" s="1" customFormat="1" ht="18.600000000000001" customHeight="1" x14ac:dyDescent="0.25">
      <c r="A37" s="1" t="s">
        <v>85</v>
      </c>
      <c r="B37" s="13" t="s">
        <v>122</v>
      </c>
      <c r="C37" s="13">
        <f>'Paste here'!Y37</f>
        <v>0</v>
      </c>
      <c r="D37" s="13">
        <f>'Paste here'!Z37</f>
        <v>0</v>
      </c>
      <c r="E37" s="13" t="s">
        <v>47</v>
      </c>
      <c r="F37" s="13">
        <f>'Paste here'!E37</f>
        <v>0</v>
      </c>
      <c r="G37" s="13">
        <f>'Paste here'!F37</f>
        <v>0</v>
      </c>
      <c r="H37" s="13">
        <f>'Paste here'!G37</f>
        <v>0</v>
      </c>
      <c r="I37" s="13">
        <f>'Paste here'!N37</f>
        <v>0</v>
      </c>
      <c r="J37" s="13" t="e">
        <f>IF(I37*VLOOKUP(H37,'Claim Amount'!$B$3:$J$24,4,FALSE)&lt;VLOOKUP(H37,'Claim Amount'!$B$3:$J$24,5,FALSE),VLOOKUP(H37,'Claim Amount'!$B$3:$J$24,5,FALSE),I37*VLOOKUP(H37,'Claim Amount'!$B$3:$J$24,4,FALSE))</f>
        <v>#N/A</v>
      </c>
      <c r="K37" s="13" t="e">
        <f>VLOOKUP(F37,'Claim Amount'!$B$3:$J$13,4,FALSE)</f>
        <v>#N/A</v>
      </c>
      <c r="L37" s="13" t="e">
        <f t="shared" si="0"/>
        <v>#N/A</v>
      </c>
      <c r="M37" s="61" t="e" cm="1">
        <f t="array" ref="M37">[1]!SPELLNUMBER(L37)</f>
        <v>#VALUE!</v>
      </c>
    </row>
    <row r="38" spans="1:13" s="1" customFormat="1" ht="18.600000000000001" customHeight="1" x14ac:dyDescent="0.25">
      <c r="A38" s="1" t="s">
        <v>86</v>
      </c>
      <c r="B38" s="13" t="s">
        <v>122</v>
      </c>
      <c r="C38" s="13">
        <f>'Paste here'!Y38</f>
        <v>0</v>
      </c>
      <c r="D38" s="13">
        <f>'Paste here'!Z38</f>
        <v>0</v>
      </c>
      <c r="E38" s="13" t="s">
        <v>47</v>
      </c>
      <c r="F38" s="13">
        <f>'Paste here'!E38</f>
        <v>0</v>
      </c>
      <c r="G38" s="13">
        <f>'Paste here'!F38</f>
        <v>0</v>
      </c>
      <c r="H38" s="13">
        <f>'Paste here'!G38</f>
        <v>0</v>
      </c>
      <c r="I38" s="13">
        <f>'Paste here'!N38</f>
        <v>0</v>
      </c>
      <c r="J38" s="13" t="e">
        <f>IF(I38*VLOOKUP(H38,'Claim Amount'!$B$3:$J$24,4,FALSE)&lt;VLOOKUP(H38,'Claim Amount'!$B$3:$J$24,5,FALSE),VLOOKUP(H38,'Claim Amount'!$B$3:$J$24,5,FALSE),I38*VLOOKUP(H38,'Claim Amount'!$B$3:$J$24,4,FALSE))</f>
        <v>#N/A</v>
      </c>
      <c r="K38" s="13" t="e">
        <f>VLOOKUP(F38,'Claim Amount'!$B$3:$J$13,4,FALSE)</f>
        <v>#N/A</v>
      </c>
      <c r="L38" s="13" t="e">
        <f t="shared" si="0"/>
        <v>#N/A</v>
      </c>
      <c r="M38" s="61" t="e" cm="1">
        <f t="array" ref="M38">[1]!SPELLNUMBER(L38)</f>
        <v>#VALUE!</v>
      </c>
    </row>
    <row r="39" spans="1:13" s="1" customFormat="1" ht="18.600000000000001" customHeight="1" x14ac:dyDescent="0.25">
      <c r="A39" s="1" t="s">
        <v>87</v>
      </c>
      <c r="B39" s="13" t="s">
        <v>122</v>
      </c>
      <c r="C39" s="13">
        <f>'Paste here'!Y39</f>
        <v>0</v>
      </c>
      <c r="D39" s="13">
        <f>'Paste here'!Z39</f>
        <v>0</v>
      </c>
      <c r="E39" s="13" t="s">
        <v>47</v>
      </c>
      <c r="F39" s="13">
        <f>'Paste here'!E39</f>
        <v>0</v>
      </c>
      <c r="G39" s="13">
        <f>'Paste here'!F39</f>
        <v>0</v>
      </c>
      <c r="H39" s="13">
        <f>'Paste here'!G39</f>
        <v>0</v>
      </c>
      <c r="I39" s="13">
        <f>'Paste here'!N39</f>
        <v>0</v>
      </c>
      <c r="J39" s="13" t="e">
        <f>IF(I39*VLOOKUP(H39,'Claim Amount'!$B$3:$J$24,4,FALSE)&lt;VLOOKUP(H39,'Claim Amount'!$B$3:$J$24,5,FALSE),VLOOKUP(H39,'Claim Amount'!$B$3:$J$24,5,FALSE),I39*VLOOKUP(H39,'Claim Amount'!$B$3:$J$24,4,FALSE))</f>
        <v>#N/A</v>
      </c>
      <c r="K39" s="13" t="e">
        <f>VLOOKUP(F39,'Claim Amount'!$B$3:$J$13,4,FALSE)</f>
        <v>#N/A</v>
      </c>
      <c r="L39" s="13" t="e">
        <f t="shared" si="0"/>
        <v>#N/A</v>
      </c>
      <c r="M39" s="61" t="e" cm="1">
        <f t="array" ref="M39">[1]!SPELLNUMBER(L39)</f>
        <v>#VALUE!</v>
      </c>
    </row>
    <row r="40" spans="1:13" s="1" customFormat="1" ht="18.600000000000001" customHeight="1" x14ac:dyDescent="0.25">
      <c r="A40" s="1" t="s">
        <v>88</v>
      </c>
      <c r="B40" s="13" t="s">
        <v>122</v>
      </c>
      <c r="C40" s="13">
        <f>'Paste here'!Y40</f>
        <v>0</v>
      </c>
      <c r="D40" s="13">
        <f>'Paste here'!Z40</f>
        <v>0</v>
      </c>
      <c r="E40" s="13" t="s">
        <v>47</v>
      </c>
      <c r="F40" s="13">
        <f>'Paste here'!E40</f>
        <v>0</v>
      </c>
      <c r="G40" s="13">
        <f>'Paste here'!F40</f>
        <v>0</v>
      </c>
      <c r="H40" s="13">
        <f>'Paste here'!G40</f>
        <v>0</v>
      </c>
      <c r="I40" s="13">
        <f>'Paste here'!N40</f>
        <v>0</v>
      </c>
      <c r="J40" s="13" t="e">
        <f>IF(I40*VLOOKUP(H40,'Claim Amount'!$B$3:$J$24,4,FALSE)&lt;VLOOKUP(H40,'Claim Amount'!$B$3:$J$24,5,FALSE),VLOOKUP(H40,'Claim Amount'!$B$3:$J$24,5,FALSE),I40*VLOOKUP(H40,'Claim Amount'!$B$3:$J$24,4,FALSE))</f>
        <v>#N/A</v>
      </c>
      <c r="K40" s="13" t="e">
        <f>VLOOKUP(F40,'Claim Amount'!$B$3:$J$13,4,FALSE)</f>
        <v>#N/A</v>
      </c>
      <c r="L40" s="13" t="e">
        <f t="shared" si="0"/>
        <v>#N/A</v>
      </c>
      <c r="M40" s="61" t="e" cm="1">
        <f t="array" ref="M40">[1]!SPELLNUMBER(L40)</f>
        <v>#VALUE!</v>
      </c>
    </row>
    <row r="41" spans="1:13" s="1" customFormat="1" ht="18.600000000000001" customHeight="1" x14ac:dyDescent="0.25">
      <c r="A41" s="1" t="s">
        <v>89</v>
      </c>
      <c r="B41" s="13" t="s">
        <v>122</v>
      </c>
      <c r="C41" s="13">
        <f>'Paste here'!Y41</f>
        <v>0</v>
      </c>
      <c r="D41" s="13">
        <f>'Paste here'!Z41</f>
        <v>0</v>
      </c>
      <c r="E41" s="13" t="s">
        <v>47</v>
      </c>
      <c r="F41" s="13">
        <f>'Paste here'!E41</f>
        <v>0</v>
      </c>
      <c r="G41" s="13">
        <f>'Paste here'!F41</f>
        <v>0</v>
      </c>
      <c r="H41" s="13">
        <f>'Paste here'!G41</f>
        <v>0</v>
      </c>
      <c r="I41" s="13">
        <f>'Paste here'!N41</f>
        <v>0</v>
      </c>
      <c r="J41" s="13" t="e">
        <f>IF(I41*VLOOKUP(H41,'Claim Amount'!$B$3:$J$24,4,FALSE)&lt;VLOOKUP(H41,'Claim Amount'!$B$3:$J$24,5,FALSE),VLOOKUP(H41,'Claim Amount'!$B$3:$J$24,5,FALSE),I41*VLOOKUP(H41,'Claim Amount'!$B$3:$J$24,4,FALSE))</f>
        <v>#N/A</v>
      </c>
      <c r="K41" s="13" t="e">
        <f>VLOOKUP(F41,'Claim Amount'!$B$3:$J$13,4,FALSE)</f>
        <v>#N/A</v>
      </c>
      <c r="L41" s="13" t="e">
        <f t="shared" si="0"/>
        <v>#N/A</v>
      </c>
      <c r="M41" s="61" t="e" cm="1">
        <f t="array" ref="M41">[1]!SPELLNUMBER(L41)</f>
        <v>#VALUE!</v>
      </c>
    </row>
    <row r="42" spans="1:13" s="1" customFormat="1" ht="18.600000000000001" customHeight="1" x14ac:dyDescent="0.25">
      <c r="A42" s="1" t="s">
        <v>90</v>
      </c>
      <c r="B42" s="13" t="s">
        <v>122</v>
      </c>
      <c r="C42" s="13">
        <f>'Paste here'!Y42</f>
        <v>0</v>
      </c>
      <c r="D42" s="13">
        <f>'Paste here'!Z42</f>
        <v>0</v>
      </c>
      <c r="E42" s="13" t="s">
        <v>47</v>
      </c>
      <c r="F42" s="13">
        <f>'Paste here'!E42</f>
        <v>0</v>
      </c>
      <c r="G42" s="13">
        <f>'Paste here'!F42</f>
        <v>0</v>
      </c>
      <c r="H42" s="13">
        <f>'Paste here'!G42</f>
        <v>0</v>
      </c>
      <c r="I42" s="13">
        <f>'Paste here'!N42</f>
        <v>0</v>
      </c>
      <c r="J42" s="13" t="e">
        <f>IF(I42*VLOOKUP(H42,'Claim Amount'!$B$3:$J$24,4,FALSE)&lt;VLOOKUP(H42,'Claim Amount'!$B$3:$J$24,5,FALSE),VLOOKUP(H42,'Claim Amount'!$B$3:$J$24,5,FALSE),I42*VLOOKUP(H42,'Claim Amount'!$B$3:$J$24,4,FALSE))</f>
        <v>#N/A</v>
      </c>
      <c r="K42" s="13" t="e">
        <f>VLOOKUP(F42,'Claim Amount'!$B$3:$J$13,4,FALSE)</f>
        <v>#N/A</v>
      </c>
      <c r="L42" s="13" t="e">
        <f t="shared" si="0"/>
        <v>#N/A</v>
      </c>
      <c r="M42" s="61" t="e" cm="1">
        <f t="array" ref="M42">[1]!SPELLNUMBER(L42)</f>
        <v>#VALUE!</v>
      </c>
    </row>
    <row r="43" spans="1:13" s="1" customFormat="1" ht="18.600000000000001" customHeight="1" x14ac:dyDescent="0.25">
      <c r="A43" s="1" t="s">
        <v>91</v>
      </c>
      <c r="B43" s="13" t="s">
        <v>122</v>
      </c>
      <c r="C43" s="13">
        <f>'Paste here'!Y43</f>
        <v>0</v>
      </c>
      <c r="D43" s="13">
        <f>'Paste here'!Z43</f>
        <v>0</v>
      </c>
      <c r="E43" s="13" t="s">
        <v>47</v>
      </c>
      <c r="F43" s="13">
        <f>'Paste here'!E43</f>
        <v>0</v>
      </c>
      <c r="G43" s="13">
        <f>'Paste here'!F43</f>
        <v>0</v>
      </c>
      <c r="H43" s="13">
        <f>'Paste here'!G43</f>
        <v>0</v>
      </c>
      <c r="I43" s="13">
        <f>'Paste here'!N43</f>
        <v>0</v>
      </c>
      <c r="J43" s="13" t="e">
        <f>IF(I43*VLOOKUP(H43,'Claim Amount'!$B$3:$J$24,4,FALSE)&lt;VLOOKUP(H43,'Claim Amount'!$B$3:$J$24,5,FALSE),VLOOKUP(H43,'Claim Amount'!$B$3:$J$24,5,FALSE),I43*VLOOKUP(H43,'Claim Amount'!$B$3:$J$24,4,FALSE))</f>
        <v>#N/A</v>
      </c>
      <c r="K43" s="13" t="e">
        <f>VLOOKUP(F43,'Claim Amount'!$B$3:$J$13,4,FALSE)</f>
        <v>#N/A</v>
      </c>
      <c r="L43" s="13" t="e">
        <f t="shared" si="0"/>
        <v>#N/A</v>
      </c>
      <c r="M43" s="61" t="e" cm="1">
        <f t="array" ref="M43">[1]!SPELLNUMBER(L43)</f>
        <v>#VALUE!</v>
      </c>
    </row>
    <row r="44" spans="1:13" s="1" customFormat="1" ht="18.600000000000001" customHeight="1" x14ac:dyDescent="0.25">
      <c r="A44" s="1" t="s">
        <v>92</v>
      </c>
      <c r="B44" s="13" t="s">
        <v>122</v>
      </c>
      <c r="C44" s="13">
        <f>'Paste here'!Y44</f>
        <v>0</v>
      </c>
      <c r="D44" s="13">
        <f>'Paste here'!Z44</f>
        <v>0</v>
      </c>
      <c r="E44" s="13" t="s">
        <v>47</v>
      </c>
      <c r="F44" s="13">
        <f>'Paste here'!E44</f>
        <v>0</v>
      </c>
      <c r="G44" s="13">
        <f>'Paste here'!F44</f>
        <v>0</v>
      </c>
      <c r="H44" s="13">
        <f>'Paste here'!G44</f>
        <v>0</v>
      </c>
      <c r="I44" s="13">
        <f>'Paste here'!N44</f>
        <v>0</v>
      </c>
      <c r="J44" s="13" t="e">
        <f>IF(I44*VLOOKUP(H44,'Claim Amount'!$B$3:$J$24,4,FALSE)&lt;VLOOKUP(H44,'Claim Amount'!$B$3:$J$24,5,FALSE),VLOOKUP(H44,'Claim Amount'!$B$3:$J$24,5,FALSE),I44*VLOOKUP(H44,'Claim Amount'!$B$3:$J$24,4,FALSE))</f>
        <v>#N/A</v>
      </c>
      <c r="K44" s="13" t="e">
        <f>VLOOKUP(F44,'Claim Amount'!$B$3:$J$13,4,FALSE)</f>
        <v>#N/A</v>
      </c>
      <c r="L44" s="13" t="e">
        <f t="shared" si="0"/>
        <v>#N/A</v>
      </c>
      <c r="M44" s="61" t="e" cm="1">
        <f t="array" ref="M44">[1]!SPELLNUMBER(L44)</f>
        <v>#VALUE!</v>
      </c>
    </row>
    <row r="45" spans="1:13" s="1" customFormat="1" ht="18.600000000000001" customHeight="1" x14ac:dyDescent="0.25">
      <c r="A45" s="1" t="s">
        <v>93</v>
      </c>
      <c r="B45" s="13" t="s">
        <v>122</v>
      </c>
      <c r="C45" s="13">
        <f>'Paste here'!Y45</f>
        <v>0</v>
      </c>
      <c r="D45" s="13">
        <f>'Paste here'!Z45</f>
        <v>0</v>
      </c>
      <c r="E45" s="13" t="s">
        <v>47</v>
      </c>
      <c r="F45" s="13">
        <f>'Paste here'!E45</f>
        <v>0</v>
      </c>
      <c r="G45" s="13">
        <f>'Paste here'!F45</f>
        <v>0</v>
      </c>
      <c r="H45" s="13">
        <f>'Paste here'!G45</f>
        <v>0</v>
      </c>
      <c r="I45" s="13">
        <f>'Paste here'!N45</f>
        <v>0</v>
      </c>
      <c r="J45" s="13" t="e">
        <f>IF(I45*VLOOKUP(H45,'Claim Amount'!$B$3:$J$24,4,FALSE)&lt;VLOOKUP(H45,'Claim Amount'!$B$3:$J$24,5,FALSE),VLOOKUP(H45,'Claim Amount'!$B$3:$J$24,5,FALSE),I45*VLOOKUP(H45,'Claim Amount'!$B$3:$J$24,4,FALSE))</f>
        <v>#N/A</v>
      </c>
      <c r="K45" s="13" t="e">
        <f>VLOOKUP(F45,'Claim Amount'!$B$3:$J$13,4,FALSE)</f>
        <v>#N/A</v>
      </c>
      <c r="L45" s="13" t="e">
        <f t="shared" si="0"/>
        <v>#N/A</v>
      </c>
      <c r="M45" s="61" t="e" cm="1">
        <f t="array" ref="M45">[1]!SPELLNUMBER(L45)</f>
        <v>#VALUE!</v>
      </c>
    </row>
    <row r="46" spans="1:13" s="1" customFormat="1" ht="18.600000000000001" customHeight="1" x14ac:dyDescent="0.25">
      <c r="A46" s="1" t="s">
        <v>94</v>
      </c>
      <c r="B46" s="13" t="s">
        <v>122</v>
      </c>
      <c r="C46" s="13">
        <f>'Paste here'!Y46</f>
        <v>0</v>
      </c>
      <c r="D46" s="13">
        <f>'Paste here'!Z46</f>
        <v>0</v>
      </c>
      <c r="E46" s="13" t="s">
        <v>47</v>
      </c>
      <c r="F46" s="13">
        <f>'Paste here'!E46</f>
        <v>0</v>
      </c>
      <c r="G46" s="13">
        <f>'Paste here'!F46</f>
        <v>0</v>
      </c>
      <c r="H46" s="13">
        <f>'Paste here'!G46</f>
        <v>0</v>
      </c>
      <c r="I46" s="13">
        <f>'Paste here'!N46</f>
        <v>0</v>
      </c>
      <c r="J46" s="13" t="e">
        <f>IF(I46*VLOOKUP(H46,'Claim Amount'!$B$3:$J$24,4,FALSE)&lt;VLOOKUP(H46,'Claim Amount'!$B$3:$J$24,5,FALSE),VLOOKUP(H46,'Claim Amount'!$B$3:$J$24,5,FALSE),I46*VLOOKUP(H46,'Claim Amount'!$B$3:$J$24,4,FALSE))</f>
        <v>#N/A</v>
      </c>
      <c r="K46" s="13" t="e">
        <f>VLOOKUP(F46,'Claim Amount'!$B$3:$J$13,4,FALSE)</f>
        <v>#N/A</v>
      </c>
      <c r="L46" s="13" t="e">
        <f t="shared" si="0"/>
        <v>#N/A</v>
      </c>
      <c r="M46" s="61" t="e" cm="1">
        <f t="array" ref="M46">[1]!SPELLNUMBER(L46)</f>
        <v>#VALUE!</v>
      </c>
    </row>
    <row r="47" spans="1:13" s="1" customFormat="1" ht="18.600000000000001" customHeight="1" x14ac:dyDescent="0.25">
      <c r="A47" s="1" t="s">
        <v>95</v>
      </c>
      <c r="B47" s="13" t="s">
        <v>122</v>
      </c>
      <c r="C47" s="13">
        <f>'Paste here'!Y47</f>
        <v>0</v>
      </c>
      <c r="D47" s="13">
        <f>'Paste here'!Z47</f>
        <v>0</v>
      </c>
      <c r="E47" s="13" t="s">
        <v>47</v>
      </c>
      <c r="F47" s="13">
        <f>'Paste here'!E47</f>
        <v>0</v>
      </c>
      <c r="G47" s="13">
        <f>'Paste here'!F47</f>
        <v>0</v>
      </c>
      <c r="H47" s="13">
        <f>'Paste here'!G47</f>
        <v>0</v>
      </c>
      <c r="I47" s="13">
        <f>'Paste here'!N47</f>
        <v>0</v>
      </c>
      <c r="J47" s="13" t="e">
        <f>IF(I47*VLOOKUP(H47,'Claim Amount'!$B$3:$J$24,4,FALSE)&lt;VLOOKUP(H47,'Claim Amount'!$B$3:$J$24,5,FALSE),VLOOKUP(H47,'Claim Amount'!$B$3:$J$24,5,FALSE),I47*VLOOKUP(H47,'Claim Amount'!$B$3:$J$24,4,FALSE))</f>
        <v>#N/A</v>
      </c>
      <c r="K47" s="13" t="e">
        <f>VLOOKUP(F47,'Claim Amount'!$B$3:$J$13,4,FALSE)</f>
        <v>#N/A</v>
      </c>
      <c r="L47" s="13" t="e">
        <f t="shared" si="0"/>
        <v>#N/A</v>
      </c>
      <c r="M47" s="61" t="e" cm="1">
        <f t="array" ref="M47">[1]!SPELLNUMBER(L47)</f>
        <v>#VALUE!</v>
      </c>
    </row>
    <row r="48" spans="1:13" s="1" customFormat="1" ht="18.600000000000001" customHeight="1" x14ac:dyDescent="0.25">
      <c r="A48" s="1" t="s">
        <v>96</v>
      </c>
      <c r="B48" s="13" t="s">
        <v>122</v>
      </c>
      <c r="C48" s="13">
        <f>'Paste here'!Y48</f>
        <v>0</v>
      </c>
      <c r="D48" s="13">
        <f>'Paste here'!Z48</f>
        <v>0</v>
      </c>
      <c r="E48" s="13" t="s">
        <v>47</v>
      </c>
      <c r="F48" s="13">
        <f>'Paste here'!E48</f>
        <v>0</v>
      </c>
      <c r="G48" s="13">
        <f>'Paste here'!F48</f>
        <v>0</v>
      </c>
      <c r="H48" s="13">
        <f>'Paste here'!G48</f>
        <v>0</v>
      </c>
      <c r="I48" s="13">
        <f>'Paste here'!N48</f>
        <v>0</v>
      </c>
      <c r="J48" s="13" t="e">
        <f>IF(I48*VLOOKUP(H48,'Claim Amount'!$B$3:$J$24,4,FALSE)&lt;VLOOKUP(H48,'Claim Amount'!$B$3:$J$24,5,FALSE),VLOOKUP(H48,'Claim Amount'!$B$3:$J$24,5,FALSE),I48*VLOOKUP(H48,'Claim Amount'!$B$3:$J$24,4,FALSE))</f>
        <v>#N/A</v>
      </c>
      <c r="K48" s="13" t="e">
        <f>VLOOKUP(F48,'Claim Amount'!$B$3:$J$13,4,FALSE)</f>
        <v>#N/A</v>
      </c>
      <c r="L48" s="13" t="e">
        <f t="shared" si="0"/>
        <v>#N/A</v>
      </c>
      <c r="M48" s="61" t="e" cm="1">
        <f t="array" ref="M48">[1]!SPELLNUMBER(L48)</f>
        <v>#VALUE!</v>
      </c>
    </row>
    <row r="49" spans="1:13" s="1" customFormat="1" ht="18.600000000000001" customHeight="1" x14ac:dyDescent="0.25">
      <c r="A49" s="1" t="s">
        <v>97</v>
      </c>
      <c r="B49" s="13" t="s">
        <v>122</v>
      </c>
      <c r="C49" s="13">
        <f>'Paste here'!Y49</f>
        <v>0</v>
      </c>
      <c r="D49" s="13">
        <f>'Paste here'!Z49</f>
        <v>0</v>
      </c>
      <c r="E49" s="13" t="s">
        <v>47</v>
      </c>
      <c r="F49" s="13">
        <f>'Paste here'!E49</f>
        <v>0</v>
      </c>
      <c r="G49" s="13">
        <f>'Paste here'!F49</f>
        <v>0</v>
      </c>
      <c r="H49" s="13">
        <f>'Paste here'!G49</f>
        <v>0</v>
      </c>
      <c r="I49" s="13">
        <f>'Paste here'!N49</f>
        <v>0</v>
      </c>
      <c r="J49" s="13" t="e">
        <f>IF(I49*VLOOKUP(H49,'Claim Amount'!$B$3:$J$24,4,FALSE)&lt;VLOOKUP(H49,'Claim Amount'!$B$3:$J$24,5,FALSE),VLOOKUP(H49,'Claim Amount'!$B$3:$J$24,5,FALSE),I49*VLOOKUP(H49,'Claim Amount'!$B$3:$J$24,4,FALSE))</f>
        <v>#N/A</v>
      </c>
      <c r="K49" s="13" t="e">
        <f>VLOOKUP(F49,'Claim Amount'!$B$3:$J$13,4,FALSE)</f>
        <v>#N/A</v>
      </c>
      <c r="L49" s="13" t="e">
        <f t="shared" si="0"/>
        <v>#N/A</v>
      </c>
      <c r="M49" s="61" t="e" cm="1">
        <f t="array" ref="M49">[1]!SPELLNUMBER(L49)</f>
        <v>#VALUE!</v>
      </c>
    </row>
    <row r="50" spans="1:13" s="1" customFormat="1" ht="18.600000000000001" customHeight="1" x14ac:dyDescent="0.25">
      <c r="A50" s="1" t="s">
        <v>98</v>
      </c>
      <c r="B50" s="13" t="s">
        <v>122</v>
      </c>
      <c r="C50" s="13">
        <f>'Paste here'!Y50</f>
        <v>0</v>
      </c>
      <c r="D50" s="13">
        <f>'Paste here'!Z50</f>
        <v>0</v>
      </c>
      <c r="E50" s="13" t="s">
        <v>47</v>
      </c>
      <c r="F50" s="13">
        <f>'Paste here'!E50</f>
        <v>0</v>
      </c>
      <c r="G50" s="13">
        <f>'Paste here'!F50</f>
        <v>0</v>
      </c>
      <c r="H50" s="13">
        <f>'Paste here'!G50</f>
        <v>0</v>
      </c>
      <c r="I50" s="13">
        <f>'Paste here'!N50</f>
        <v>0</v>
      </c>
      <c r="J50" s="13" t="e">
        <f>IF(I50*VLOOKUP(H50,'Claim Amount'!$B$3:$J$24,4,FALSE)&lt;VLOOKUP(H50,'Claim Amount'!$B$3:$J$24,5,FALSE),VLOOKUP(H50,'Claim Amount'!$B$3:$J$24,5,FALSE),I50*VLOOKUP(H50,'Claim Amount'!$B$3:$J$24,4,FALSE))</f>
        <v>#N/A</v>
      </c>
      <c r="K50" s="13" t="e">
        <f>VLOOKUP(F50,'Claim Amount'!$B$3:$J$13,4,FALSE)</f>
        <v>#N/A</v>
      </c>
      <c r="L50" s="13" t="e">
        <f t="shared" si="0"/>
        <v>#N/A</v>
      </c>
      <c r="M50" s="61" t="e" cm="1">
        <f t="array" ref="M50">[1]!SPELLNUMBER(L50)</f>
        <v>#VALUE!</v>
      </c>
    </row>
    <row r="51" spans="1:13" s="1" customFormat="1" ht="18.600000000000001" customHeight="1" x14ac:dyDescent="0.25">
      <c r="A51" s="1" t="s">
        <v>99</v>
      </c>
      <c r="B51" s="13" t="s">
        <v>122</v>
      </c>
      <c r="C51" s="13">
        <f>'Paste here'!Y51</f>
        <v>0</v>
      </c>
      <c r="D51" s="13">
        <f>'Paste here'!Z51</f>
        <v>0</v>
      </c>
      <c r="E51" s="13" t="s">
        <v>47</v>
      </c>
      <c r="F51" s="13">
        <f>'Paste here'!E51</f>
        <v>0</v>
      </c>
      <c r="G51" s="13">
        <f>'Paste here'!F51</f>
        <v>0</v>
      </c>
      <c r="H51" s="13">
        <f>'Paste here'!G51</f>
        <v>0</v>
      </c>
      <c r="I51" s="13">
        <f>'Paste here'!N51</f>
        <v>0</v>
      </c>
      <c r="J51" s="13" t="e">
        <f>IF(I51*VLOOKUP(H51,'Claim Amount'!$B$3:$J$24,4,FALSE)&lt;VLOOKUP(H51,'Claim Amount'!$B$3:$J$24,5,FALSE),VLOOKUP(H51,'Claim Amount'!$B$3:$J$24,5,FALSE),I51*VLOOKUP(H51,'Claim Amount'!$B$3:$J$24,4,FALSE))</f>
        <v>#N/A</v>
      </c>
      <c r="K51" s="13" t="e">
        <f>VLOOKUP(F51,'Claim Amount'!$B$3:$J$13,4,FALSE)</f>
        <v>#N/A</v>
      </c>
      <c r="L51" s="13" t="e">
        <f t="shared" si="0"/>
        <v>#N/A</v>
      </c>
      <c r="M51" s="61" t="e" cm="1">
        <f t="array" ref="M51">[1]!SPELLNUMBER(L51)</f>
        <v>#VALUE!</v>
      </c>
    </row>
    <row r="52" spans="1:13" s="1" customFormat="1" ht="18.600000000000001" customHeight="1" x14ac:dyDescent="0.25">
      <c r="A52" s="1" t="s">
        <v>100</v>
      </c>
      <c r="B52" s="13" t="s">
        <v>122</v>
      </c>
      <c r="C52" s="13">
        <f>'Paste here'!Y52</f>
        <v>0</v>
      </c>
      <c r="D52" s="13">
        <f>'Paste here'!Z52</f>
        <v>0</v>
      </c>
      <c r="E52" s="13" t="s">
        <v>47</v>
      </c>
      <c r="F52" s="13">
        <f>'Paste here'!E52</f>
        <v>0</v>
      </c>
      <c r="G52" s="13">
        <f>'Paste here'!F52</f>
        <v>0</v>
      </c>
      <c r="H52" s="13">
        <f>'Paste here'!G52</f>
        <v>0</v>
      </c>
      <c r="I52" s="13">
        <f>'Paste here'!N52</f>
        <v>0</v>
      </c>
      <c r="J52" s="13" t="e">
        <f>IF(I52*VLOOKUP(H52,'Claim Amount'!$B$3:$J$24,4,FALSE)&lt;VLOOKUP(H52,'Claim Amount'!$B$3:$J$24,5,FALSE),VLOOKUP(H52,'Claim Amount'!$B$3:$J$24,5,FALSE),I52*VLOOKUP(H52,'Claim Amount'!$B$3:$J$24,4,FALSE))</f>
        <v>#N/A</v>
      </c>
      <c r="K52" s="13" t="e">
        <f>VLOOKUP(F52,'Claim Amount'!$B$3:$J$13,4,FALSE)</f>
        <v>#N/A</v>
      </c>
      <c r="L52" s="13" t="e">
        <f t="shared" si="0"/>
        <v>#N/A</v>
      </c>
      <c r="M52" s="61" t="e" cm="1">
        <f t="array" ref="M52">[1]!SPELLNUMBER(L52)</f>
        <v>#VALUE!</v>
      </c>
    </row>
    <row r="53" spans="1:13" s="1" customFormat="1" ht="18.600000000000001" customHeight="1" x14ac:dyDescent="0.25">
      <c r="A53" s="1" t="s">
        <v>101</v>
      </c>
      <c r="B53" s="13" t="s">
        <v>122</v>
      </c>
      <c r="C53" s="13">
        <f>'Paste here'!Y53</f>
        <v>0</v>
      </c>
      <c r="D53" s="13">
        <f>'Paste here'!Z53</f>
        <v>0</v>
      </c>
      <c r="E53" s="13" t="s">
        <v>47</v>
      </c>
      <c r="F53" s="13">
        <f>'Paste here'!E53</f>
        <v>0</v>
      </c>
      <c r="G53" s="13">
        <f>'Paste here'!F53</f>
        <v>0</v>
      </c>
      <c r="H53" s="13">
        <f>'Paste here'!G53</f>
        <v>0</v>
      </c>
      <c r="I53" s="13">
        <f>'Paste here'!N53</f>
        <v>0</v>
      </c>
      <c r="J53" s="13" t="e">
        <f>IF(I53*VLOOKUP(H53,'Claim Amount'!$B$3:$J$24,4,FALSE)&lt;VLOOKUP(H53,'Claim Amount'!$B$3:$J$24,5,FALSE),VLOOKUP(H53,'Claim Amount'!$B$3:$J$24,5,FALSE),I53*VLOOKUP(H53,'Claim Amount'!$B$3:$J$24,4,FALSE))</f>
        <v>#N/A</v>
      </c>
      <c r="K53" s="13" t="e">
        <f>VLOOKUP(F53,'Claim Amount'!$B$3:$J$13,4,FALSE)</f>
        <v>#N/A</v>
      </c>
      <c r="L53" s="13" t="e">
        <f t="shared" si="0"/>
        <v>#N/A</v>
      </c>
      <c r="M53" s="61" t="e" cm="1">
        <f t="array" ref="M53">[1]!SPELLNUMBER(L53)</f>
        <v>#VALUE!</v>
      </c>
    </row>
    <row r="54" spans="1:13" s="1" customFormat="1" ht="18.600000000000001" customHeight="1" x14ac:dyDescent="0.25">
      <c r="A54" s="1" t="s">
        <v>102</v>
      </c>
      <c r="B54" s="13" t="s">
        <v>122</v>
      </c>
      <c r="C54" s="13">
        <f>'Paste here'!Y54</f>
        <v>0</v>
      </c>
      <c r="D54" s="13">
        <f>'Paste here'!Z54</f>
        <v>0</v>
      </c>
      <c r="E54" s="13" t="s">
        <v>47</v>
      </c>
      <c r="F54" s="13">
        <f>'Paste here'!E54</f>
        <v>0</v>
      </c>
      <c r="G54" s="13">
        <f>'Paste here'!F54</f>
        <v>0</v>
      </c>
      <c r="H54" s="13">
        <f>'Paste here'!G54</f>
        <v>0</v>
      </c>
      <c r="I54" s="13">
        <f>'Paste here'!N54</f>
        <v>0</v>
      </c>
      <c r="J54" s="13" t="e">
        <f>IF(I54*VLOOKUP(H54,'Claim Amount'!$B$3:$J$24,4,FALSE)&lt;VLOOKUP(H54,'Claim Amount'!$B$3:$J$24,5,FALSE),VLOOKUP(H54,'Claim Amount'!$B$3:$J$24,5,FALSE),I54*VLOOKUP(H54,'Claim Amount'!$B$3:$J$24,4,FALSE))</f>
        <v>#N/A</v>
      </c>
      <c r="K54" s="13" t="e">
        <f>VLOOKUP(F54,'Claim Amount'!$B$3:$J$13,4,FALSE)</f>
        <v>#N/A</v>
      </c>
      <c r="L54" s="13" t="e">
        <f t="shared" si="0"/>
        <v>#N/A</v>
      </c>
      <c r="M54" s="61" t="e" cm="1">
        <f t="array" ref="M54">[1]!SPELLNUMBER(L54)</f>
        <v>#VALUE!</v>
      </c>
    </row>
    <row r="55" spans="1:13" s="1" customFormat="1" ht="18.600000000000001" customHeight="1" x14ac:dyDescent="0.25">
      <c r="A55" s="1" t="s">
        <v>103</v>
      </c>
      <c r="B55" s="13" t="s">
        <v>122</v>
      </c>
      <c r="C55" s="13">
        <f>'Paste here'!Y55</f>
        <v>0</v>
      </c>
      <c r="D55" s="13">
        <f>'Paste here'!Z55</f>
        <v>0</v>
      </c>
      <c r="E55" s="13" t="s">
        <v>47</v>
      </c>
      <c r="F55" s="13">
        <f>'Paste here'!E55</f>
        <v>0</v>
      </c>
      <c r="G55" s="13">
        <f>'Paste here'!F55</f>
        <v>0</v>
      </c>
      <c r="H55" s="13">
        <f>'Paste here'!G55</f>
        <v>0</v>
      </c>
      <c r="I55" s="13">
        <f>'Paste here'!N55</f>
        <v>0</v>
      </c>
      <c r="J55" s="13" t="e">
        <f>IF(I55*VLOOKUP(H55,'Claim Amount'!$B$3:$J$24,4,FALSE)&lt;VLOOKUP(H55,'Claim Amount'!$B$3:$J$24,5,FALSE),VLOOKUP(H55,'Claim Amount'!$B$3:$J$24,5,FALSE),I55*VLOOKUP(H55,'Claim Amount'!$B$3:$J$24,4,FALSE))</f>
        <v>#N/A</v>
      </c>
      <c r="K55" s="13" t="e">
        <f>VLOOKUP(F55,'Claim Amount'!$B$3:$J$13,4,FALSE)</f>
        <v>#N/A</v>
      </c>
      <c r="L55" s="13" t="e">
        <f t="shared" si="0"/>
        <v>#N/A</v>
      </c>
      <c r="M55" s="61" t="e" cm="1">
        <f t="array" ref="M55">[1]!SPELLNUMBER(L55)</f>
        <v>#VALUE!</v>
      </c>
    </row>
    <row r="56" spans="1:13" s="1" customFormat="1" ht="18.600000000000001" customHeight="1" x14ac:dyDescent="0.25">
      <c r="A56" s="1" t="s">
        <v>104</v>
      </c>
      <c r="B56" s="13" t="s">
        <v>122</v>
      </c>
      <c r="C56" s="13">
        <f>'Paste here'!Y56</f>
        <v>0</v>
      </c>
      <c r="D56" s="13">
        <f>'Paste here'!Z56</f>
        <v>0</v>
      </c>
      <c r="E56" s="13" t="s">
        <v>47</v>
      </c>
      <c r="F56" s="13">
        <f>'Paste here'!E56</f>
        <v>0</v>
      </c>
      <c r="G56" s="13">
        <f>'Paste here'!F56</f>
        <v>0</v>
      </c>
      <c r="H56" s="13">
        <f>'Paste here'!G56</f>
        <v>0</v>
      </c>
      <c r="I56" s="13">
        <f>'Paste here'!N56</f>
        <v>0</v>
      </c>
      <c r="J56" s="13" t="e">
        <f>IF(I56*VLOOKUP(H56,'Claim Amount'!$B$3:$J$24,4,FALSE)&lt;VLOOKUP(H56,'Claim Amount'!$B$3:$J$24,5,FALSE),VLOOKUP(H56,'Claim Amount'!$B$3:$J$24,5,FALSE),I56*VLOOKUP(H56,'Claim Amount'!$B$3:$J$24,4,FALSE))</f>
        <v>#N/A</v>
      </c>
      <c r="K56" s="13" t="e">
        <f>VLOOKUP(F56,'Claim Amount'!$B$3:$J$13,4,FALSE)</f>
        <v>#N/A</v>
      </c>
      <c r="L56" s="13" t="e">
        <f t="shared" si="0"/>
        <v>#N/A</v>
      </c>
      <c r="M56" s="61" t="e" cm="1">
        <f t="array" ref="M56">[1]!SPELLNUMBER(L56)</f>
        <v>#VALUE!</v>
      </c>
    </row>
    <row r="57" spans="1:13" s="1" customFormat="1" ht="18.600000000000001" customHeight="1" x14ac:dyDescent="0.25">
      <c r="A57" s="1" t="s">
        <v>105</v>
      </c>
      <c r="B57" s="13" t="s">
        <v>122</v>
      </c>
      <c r="C57" s="13">
        <f>'Paste here'!Y57</f>
        <v>0</v>
      </c>
      <c r="D57" s="13">
        <f>'Paste here'!Z57</f>
        <v>0</v>
      </c>
      <c r="E57" s="13" t="s">
        <v>47</v>
      </c>
      <c r="F57" s="13">
        <f>'Paste here'!E57</f>
        <v>0</v>
      </c>
      <c r="G57" s="13">
        <f>'Paste here'!F57</f>
        <v>0</v>
      </c>
      <c r="H57" s="13">
        <f>'Paste here'!G57</f>
        <v>0</v>
      </c>
      <c r="I57" s="13">
        <f>'Paste here'!N57</f>
        <v>0</v>
      </c>
      <c r="J57" s="13" t="e">
        <f>IF(I57*VLOOKUP(H57,'Claim Amount'!$B$3:$J$24,4,FALSE)&lt;VLOOKUP(H57,'Claim Amount'!$B$3:$J$24,5,FALSE),VLOOKUP(H57,'Claim Amount'!$B$3:$J$24,5,FALSE),I57*VLOOKUP(H57,'Claim Amount'!$B$3:$J$24,4,FALSE))</f>
        <v>#N/A</v>
      </c>
      <c r="K57" s="13" t="e">
        <f>VLOOKUP(F57,'Claim Amount'!$B$3:$J$13,4,FALSE)</f>
        <v>#N/A</v>
      </c>
      <c r="L57" s="13" t="e">
        <f t="shared" si="0"/>
        <v>#N/A</v>
      </c>
      <c r="M57" s="61" t="e" cm="1">
        <f t="array" ref="M57">[1]!SPELLNUMBER(L57)</f>
        <v>#VALUE!</v>
      </c>
    </row>
    <row r="58" spans="1:13" s="1" customFormat="1" ht="18.600000000000001" customHeight="1" x14ac:dyDescent="0.25">
      <c r="A58" s="1" t="s">
        <v>106</v>
      </c>
      <c r="B58" s="13" t="s">
        <v>122</v>
      </c>
      <c r="C58" s="13">
        <f>'Paste here'!Y58</f>
        <v>0</v>
      </c>
      <c r="D58" s="13">
        <f>'Paste here'!Z58</f>
        <v>0</v>
      </c>
      <c r="E58" s="13" t="s">
        <v>47</v>
      </c>
      <c r="F58" s="13">
        <f>'Paste here'!E58</f>
        <v>0</v>
      </c>
      <c r="G58" s="13">
        <f>'Paste here'!F58</f>
        <v>0</v>
      </c>
      <c r="H58" s="13">
        <f>'Paste here'!G58</f>
        <v>0</v>
      </c>
      <c r="I58" s="13">
        <f>'Paste here'!N58</f>
        <v>0</v>
      </c>
      <c r="J58" s="13" t="e">
        <f>IF(I58*VLOOKUP(H58,'Claim Amount'!$B$3:$J$24,4,FALSE)&lt;VLOOKUP(H58,'Claim Amount'!$B$3:$J$24,5,FALSE),VLOOKUP(H58,'Claim Amount'!$B$3:$J$24,5,FALSE),I58*VLOOKUP(H58,'Claim Amount'!$B$3:$J$24,4,FALSE))</f>
        <v>#N/A</v>
      </c>
      <c r="K58" s="13" t="e">
        <f>VLOOKUP(F58,'Claim Amount'!$B$3:$J$13,4,FALSE)</f>
        <v>#N/A</v>
      </c>
      <c r="L58" s="13" t="e">
        <f t="shared" si="0"/>
        <v>#N/A</v>
      </c>
      <c r="M58" s="61" t="e" cm="1">
        <f t="array" ref="M58">[1]!SPELLNUMBER(L58)</f>
        <v>#VALUE!</v>
      </c>
    </row>
    <row r="59" spans="1:13" s="1" customFormat="1" ht="18.600000000000001" customHeight="1" x14ac:dyDescent="0.25">
      <c r="A59" s="1" t="s">
        <v>107</v>
      </c>
      <c r="B59" s="13" t="s">
        <v>122</v>
      </c>
      <c r="C59" s="13">
        <f>'Paste here'!Y59</f>
        <v>0</v>
      </c>
      <c r="D59" s="13">
        <f>'Paste here'!Z59</f>
        <v>0</v>
      </c>
      <c r="E59" s="13" t="s">
        <v>47</v>
      </c>
      <c r="F59" s="13">
        <f>'Paste here'!E59</f>
        <v>0</v>
      </c>
      <c r="G59" s="13">
        <f>'Paste here'!F59</f>
        <v>0</v>
      </c>
      <c r="H59" s="13">
        <f>'Paste here'!G59</f>
        <v>0</v>
      </c>
      <c r="I59" s="13">
        <f>'Paste here'!N59</f>
        <v>0</v>
      </c>
      <c r="J59" s="13" t="e">
        <f>IF(I59*VLOOKUP(H59,'Claim Amount'!$B$3:$J$24,4,FALSE)&lt;VLOOKUP(H59,'Claim Amount'!$B$3:$J$24,5,FALSE),VLOOKUP(H59,'Claim Amount'!$B$3:$J$24,5,FALSE),I59*VLOOKUP(H59,'Claim Amount'!$B$3:$J$24,4,FALSE))</f>
        <v>#N/A</v>
      </c>
      <c r="K59" s="13" t="e">
        <f>VLOOKUP(F59,'Claim Amount'!$B$3:$J$13,4,FALSE)</f>
        <v>#N/A</v>
      </c>
      <c r="L59" s="13" t="e">
        <f t="shared" si="0"/>
        <v>#N/A</v>
      </c>
      <c r="M59" s="61" t="e" cm="1">
        <f t="array" ref="M59">[1]!SPELLNUMBER(L59)</f>
        <v>#VALUE!</v>
      </c>
    </row>
    <row r="60" spans="1:13" s="1" customFormat="1" ht="18.600000000000001" customHeight="1" x14ac:dyDescent="0.25">
      <c r="A60" s="1" t="s">
        <v>108</v>
      </c>
      <c r="B60" s="13" t="s">
        <v>122</v>
      </c>
      <c r="C60" s="13">
        <f>'Paste here'!Y60</f>
        <v>0</v>
      </c>
      <c r="D60" s="13">
        <f>'Paste here'!Z60</f>
        <v>0</v>
      </c>
      <c r="E60" s="13" t="s">
        <v>47</v>
      </c>
      <c r="F60" s="13">
        <f>'Paste here'!E60</f>
        <v>0</v>
      </c>
      <c r="G60" s="13">
        <f>'Paste here'!F60</f>
        <v>0</v>
      </c>
      <c r="H60" s="13">
        <f>'Paste here'!G60</f>
        <v>0</v>
      </c>
      <c r="I60" s="13">
        <f>'Paste here'!N60</f>
        <v>0</v>
      </c>
      <c r="J60" s="13" t="e">
        <f>IF(I60*VLOOKUP(H60,'Claim Amount'!$B$3:$J$24,4,FALSE)&lt;VLOOKUP(H60,'Claim Amount'!$B$3:$J$24,5,FALSE),VLOOKUP(H60,'Claim Amount'!$B$3:$J$24,5,FALSE),I60*VLOOKUP(H60,'Claim Amount'!$B$3:$J$24,4,FALSE))</f>
        <v>#N/A</v>
      </c>
      <c r="K60" s="13" t="e">
        <f>VLOOKUP(F60,'Claim Amount'!$B$3:$J$13,4,FALSE)</f>
        <v>#N/A</v>
      </c>
      <c r="L60" s="13" t="e">
        <f t="shared" si="0"/>
        <v>#N/A</v>
      </c>
      <c r="M60" s="61" t="e" cm="1">
        <f t="array" ref="M60">[1]!SPELLNUMBER(L60)</f>
        <v>#VALUE!</v>
      </c>
    </row>
    <row r="61" spans="1:13" s="1" customFormat="1" ht="18.600000000000001" customHeight="1" x14ac:dyDescent="0.25">
      <c r="A61" s="1" t="s">
        <v>203</v>
      </c>
      <c r="B61" s="13" t="s">
        <v>122</v>
      </c>
      <c r="C61" s="13">
        <f>'Paste here'!Y61</f>
        <v>0</v>
      </c>
      <c r="D61" s="13">
        <f>'Paste here'!Z61</f>
        <v>0</v>
      </c>
      <c r="E61" s="13" t="s">
        <v>47</v>
      </c>
      <c r="F61" s="13">
        <f>'Paste here'!E61</f>
        <v>0</v>
      </c>
      <c r="G61" s="13">
        <f>'Paste here'!F61</f>
        <v>0</v>
      </c>
      <c r="H61" s="13">
        <f>'Paste here'!G61</f>
        <v>0</v>
      </c>
      <c r="I61" s="13">
        <f>'Paste here'!N61</f>
        <v>0</v>
      </c>
      <c r="J61" s="13" t="e">
        <f>IF(I61*VLOOKUP(H61,'Claim Amount'!$B$3:$J$24,4,FALSE)&lt;VLOOKUP(H61,'Claim Amount'!$B$3:$J$24,5,FALSE),VLOOKUP(H61,'Claim Amount'!$B$3:$J$24,5,FALSE),I61*VLOOKUP(H61,'Claim Amount'!$B$3:$J$24,4,FALSE))</f>
        <v>#N/A</v>
      </c>
      <c r="K61" s="13" t="e">
        <f>VLOOKUP(F61,'Claim Amount'!$B$3:$J$13,4,FALSE)</f>
        <v>#N/A</v>
      </c>
      <c r="L61" s="13" t="e">
        <f t="shared" si="0"/>
        <v>#N/A</v>
      </c>
      <c r="M61" s="61" t="e" cm="1">
        <f t="array" ref="M61">[1]!SPELLNUMBER(L61)</f>
        <v>#VALUE!</v>
      </c>
    </row>
    <row r="62" spans="1:13" s="1" customFormat="1" ht="18.600000000000001" customHeight="1" x14ac:dyDescent="0.25">
      <c r="A62" s="1" t="s">
        <v>204</v>
      </c>
      <c r="B62" s="13" t="s">
        <v>122</v>
      </c>
      <c r="C62" s="13">
        <f>'Paste here'!Y62</f>
        <v>0</v>
      </c>
      <c r="D62" s="13">
        <f>'Paste here'!Z62</f>
        <v>0</v>
      </c>
      <c r="E62" s="13" t="s">
        <v>47</v>
      </c>
      <c r="F62" s="13">
        <f>'Paste here'!E62</f>
        <v>0</v>
      </c>
      <c r="G62" s="13">
        <f>'Paste here'!F62</f>
        <v>0</v>
      </c>
      <c r="H62" s="13">
        <f>'Paste here'!G62</f>
        <v>0</v>
      </c>
      <c r="I62" s="13">
        <f>'Paste here'!N62</f>
        <v>0</v>
      </c>
      <c r="J62" s="13" t="e">
        <f>IF(I62*VLOOKUP(H62,'Claim Amount'!$B$3:$J$24,4,FALSE)&lt;VLOOKUP(H62,'Claim Amount'!$B$3:$J$24,5,FALSE),VLOOKUP(H62,'Claim Amount'!$B$3:$J$24,5,FALSE),I62*VLOOKUP(H62,'Claim Amount'!$B$3:$J$24,4,FALSE))</f>
        <v>#N/A</v>
      </c>
      <c r="K62" s="13" t="e">
        <f>VLOOKUP(F62,'Claim Amount'!$B$3:$J$13,4,FALSE)</f>
        <v>#N/A</v>
      </c>
      <c r="L62" s="13" t="e">
        <f t="shared" si="0"/>
        <v>#N/A</v>
      </c>
      <c r="M62" s="61" t="e" cm="1">
        <f t="array" ref="M62">[1]!SPELLNUMBER(L62)</f>
        <v>#VALUE!</v>
      </c>
    </row>
    <row r="63" spans="1:13" s="1" customFormat="1" ht="18.600000000000001" customHeight="1" x14ac:dyDescent="0.25">
      <c r="A63" s="1" t="s">
        <v>205</v>
      </c>
      <c r="B63" s="13" t="s">
        <v>122</v>
      </c>
      <c r="C63" s="13">
        <f>'Paste here'!Y63</f>
        <v>0</v>
      </c>
      <c r="D63" s="13">
        <f>'Paste here'!Z63</f>
        <v>0</v>
      </c>
      <c r="E63" s="13" t="s">
        <v>47</v>
      </c>
      <c r="F63" s="13">
        <f>'Paste here'!E63</f>
        <v>0</v>
      </c>
      <c r="G63" s="13">
        <f>'Paste here'!F63</f>
        <v>0</v>
      </c>
      <c r="H63" s="13">
        <f>'Paste here'!G63</f>
        <v>0</v>
      </c>
      <c r="I63" s="13">
        <f>'Paste here'!N63</f>
        <v>0</v>
      </c>
      <c r="J63" s="13" t="e">
        <f>IF(I63*VLOOKUP(H63,'Claim Amount'!$B$3:$J$24,4,FALSE)&lt;VLOOKUP(H63,'Claim Amount'!$B$3:$J$24,5,FALSE),VLOOKUP(H63,'Claim Amount'!$B$3:$J$24,5,FALSE),I63*VLOOKUP(H63,'Claim Amount'!$B$3:$J$24,4,FALSE))</f>
        <v>#N/A</v>
      </c>
      <c r="K63" s="13" t="e">
        <f>VLOOKUP(F63,'Claim Amount'!$B$3:$J$13,4,FALSE)</f>
        <v>#N/A</v>
      </c>
      <c r="L63" s="13" t="e">
        <f t="shared" si="0"/>
        <v>#N/A</v>
      </c>
      <c r="M63" s="61" t="e" cm="1">
        <f t="array" ref="M63">[1]!SPELLNUMBER(L63)</f>
        <v>#VALUE!</v>
      </c>
    </row>
    <row r="64" spans="1:13" s="1" customFormat="1" ht="18.600000000000001" customHeight="1" x14ac:dyDescent="0.25">
      <c r="A64" s="1" t="s">
        <v>206</v>
      </c>
      <c r="B64" s="13" t="s">
        <v>122</v>
      </c>
      <c r="C64" s="13">
        <f>'Paste here'!Y64</f>
        <v>0</v>
      </c>
      <c r="D64" s="13">
        <f>'Paste here'!Z64</f>
        <v>0</v>
      </c>
      <c r="E64" s="13" t="s">
        <v>47</v>
      </c>
      <c r="F64" s="13">
        <f>'Paste here'!E64</f>
        <v>0</v>
      </c>
      <c r="G64" s="13">
        <f>'Paste here'!F64</f>
        <v>0</v>
      </c>
      <c r="H64" s="13">
        <f>'Paste here'!G64</f>
        <v>0</v>
      </c>
      <c r="I64" s="13">
        <f>'Paste here'!N64</f>
        <v>0</v>
      </c>
      <c r="J64" s="13" t="e">
        <f>IF(I64*VLOOKUP(H64,'Claim Amount'!$B$3:$J$24,4,FALSE)&lt;VLOOKUP(H64,'Claim Amount'!$B$3:$J$24,5,FALSE),VLOOKUP(H64,'Claim Amount'!$B$3:$J$24,5,FALSE),I64*VLOOKUP(H64,'Claim Amount'!$B$3:$J$24,4,FALSE))</f>
        <v>#N/A</v>
      </c>
      <c r="K64" s="13" t="e">
        <f>VLOOKUP(F64,'Claim Amount'!$B$3:$J$13,4,FALSE)</f>
        <v>#N/A</v>
      </c>
      <c r="L64" s="13" t="e">
        <f t="shared" si="0"/>
        <v>#N/A</v>
      </c>
      <c r="M64" s="61" t="e" cm="1">
        <f t="array" ref="M64">[1]!SPELLNUMBER(L64)</f>
        <v>#VALUE!</v>
      </c>
    </row>
    <row r="65" spans="1:13" s="1" customFormat="1" ht="18.600000000000001" customHeight="1" x14ac:dyDescent="0.25">
      <c r="A65" s="1" t="s">
        <v>207</v>
      </c>
      <c r="B65" s="13" t="s">
        <v>122</v>
      </c>
      <c r="C65" s="13">
        <f>'Paste here'!Y65</f>
        <v>0</v>
      </c>
      <c r="D65" s="13">
        <f>'Paste here'!Z65</f>
        <v>0</v>
      </c>
      <c r="E65" s="13" t="s">
        <v>47</v>
      </c>
      <c r="F65" s="13">
        <f>'Paste here'!E65</f>
        <v>0</v>
      </c>
      <c r="G65" s="13">
        <f>'Paste here'!F65</f>
        <v>0</v>
      </c>
      <c r="H65" s="13">
        <f>'Paste here'!G65</f>
        <v>0</v>
      </c>
      <c r="I65" s="13">
        <f>'Paste here'!N65</f>
        <v>0</v>
      </c>
      <c r="J65" s="13" t="e">
        <f>IF(I65*VLOOKUP(H65,'Claim Amount'!$B$3:$J$24,4,FALSE)&lt;VLOOKUP(H65,'Claim Amount'!$B$3:$J$24,5,FALSE),VLOOKUP(H65,'Claim Amount'!$B$3:$J$24,5,FALSE),I65*VLOOKUP(H65,'Claim Amount'!$B$3:$J$24,4,FALSE))</f>
        <v>#N/A</v>
      </c>
      <c r="K65" s="13" t="e">
        <f>VLOOKUP(F65,'Claim Amount'!$B$3:$J$13,4,FALSE)</f>
        <v>#N/A</v>
      </c>
      <c r="L65" s="13" t="e">
        <f t="shared" si="0"/>
        <v>#N/A</v>
      </c>
      <c r="M65" s="61" t="e" cm="1">
        <f t="array" ref="M65">[1]!SPELLNUMBER(L65)</f>
        <v>#VALUE!</v>
      </c>
    </row>
    <row r="66" spans="1:13" s="1" customFormat="1" ht="18.600000000000001" customHeight="1" x14ac:dyDescent="0.25">
      <c r="A66" s="1" t="s">
        <v>208</v>
      </c>
      <c r="B66" s="13" t="s">
        <v>122</v>
      </c>
      <c r="C66" s="13">
        <f>'Paste here'!Y66</f>
        <v>0</v>
      </c>
      <c r="D66" s="13">
        <f>'Paste here'!Z66</f>
        <v>0</v>
      </c>
      <c r="E66" s="13" t="s">
        <v>47</v>
      </c>
      <c r="F66" s="13">
        <f>'Paste here'!E66</f>
        <v>0</v>
      </c>
      <c r="G66" s="13">
        <f>'Paste here'!F66</f>
        <v>0</v>
      </c>
      <c r="H66" s="13">
        <f>'Paste here'!G66</f>
        <v>0</v>
      </c>
      <c r="I66" s="13">
        <f>'Paste here'!N66</f>
        <v>0</v>
      </c>
      <c r="J66" s="13" t="e">
        <f>IF(I66*VLOOKUP(H66,'Claim Amount'!$B$3:$J$24,4,FALSE)&lt;VLOOKUP(H66,'Claim Amount'!$B$3:$J$24,5,FALSE),VLOOKUP(H66,'Claim Amount'!$B$3:$J$24,5,FALSE),I66*VLOOKUP(H66,'Claim Amount'!$B$3:$J$24,4,FALSE))</f>
        <v>#N/A</v>
      </c>
      <c r="K66" s="13" t="e">
        <f>VLOOKUP(F66,'Claim Amount'!$B$3:$J$13,4,FALSE)</f>
        <v>#N/A</v>
      </c>
      <c r="L66" s="13" t="e">
        <f t="shared" si="0"/>
        <v>#N/A</v>
      </c>
      <c r="M66" s="61" t="e" cm="1">
        <f t="array" ref="M66">[1]!SPELLNUMBER(L66)</f>
        <v>#VALUE!</v>
      </c>
    </row>
    <row r="67" spans="1:13" s="1" customFormat="1" ht="18.600000000000001" customHeight="1" x14ac:dyDescent="0.25">
      <c r="A67" s="1" t="s">
        <v>209</v>
      </c>
      <c r="B67" s="13" t="s">
        <v>122</v>
      </c>
      <c r="C67" s="13">
        <f>'Paste here'!Y67</f>
        <v>0</v>
      </c>
      <c r="D67" s="13">
        <f>'Paste here'!Z67</f>
        <v>0</v>
      </c>
      <c r="E67" s="13" t="s">
        <v>47</v>
      </c>
      <c r="F67" s="13">
        <f>'Paste here'!E67</f>
        <v>0</v>
      </c>
      <c r="G67" s="13">
        <f>'Paste here'!F67</f>
        <v>0</v>
      </c>
      <c r="H67" s="13">
        <f>'Paste here'!G67</f>
        <v>0</v>
      </c>
      <c r="I67" s="13">
        <f>'Paste here'!N67</f>
        <v>0</v>
      </c>
      <c r="J67" s="13" t="e">
        <f>IF(I67*VLOOKUP(H67,'Claim Amount'!$B$3:$J$24,4,FALSE)&lt;VLOOKUP(H67,'Claim Amount'!$B$3:$J$24,5,FALSE),VLOOKUP(H67,'Claim Amount'!$B$3:$J$24,5,FALSE),I67*VLOOKUP(H67,'Claim Amount'!$B$3:$J$24,4,FALSE))</f>
        <v>#N/A</v>
      </c>
      <c r="K67" s="13" t="e">
        <f>VLOOKUP(F67,'Claim Amount'!$B$3:$J$13,4,FALSE)</f>
        <v>#N/A</v>
      </c>
      <c r="L67" s="13" t="e">
        <f t="shared" ref="L67:L130" si="1">J67</f>
        <v>#N/A</v>
      </c>
      <c r="M67" s="61" t="e" cm="1">
        <f t="array" ref="M67">[1]!SPELLNUMBER(L67)</f>
        <v>#VALUE!</v>
      </c>
    </row>
    <row r="68" spans="1:13" s="1" customFormat="1" ht="18.600000000000001" customHeight="1" x14ac:dyDescent="0.25">
      <c r="A68" s="1" t="s">
        <v>210</v>
      </c>
      <c r="B68" s="13" t="s">
        <v>122</v>
      </c>
      <c r="C68" s="13">
        <f>'Paste here'!Y68</f>
        <v>0</v>
      </c>
      <c r="D68" s="13">
        <f>'Paste here'!Z68</f>
        <v>0</v>
      </c>
      <c r="E68" s="13" t="s">
        <v>47</v>
      </c>
      <c r="F68" s="13">
        <f>'Paste here'!E68</f>
        <v>0</v>
      </c>
      <c r="G68" s="13">
        <f>'Paste here'!F68</f>
        <v>0</v>
      </c>
      <c r="H68" s="13">
        <f>'Paste here'!G68</f>
        <v>0</v>
      </c>
      <c r="I68" s="13">
        <f>'Paste here'!N68</f>
        <v>0</v>
      </c>
      <c r="J68" s="13" t="e">
        <f>IF(I68*VLOOKUP(H68,'Claim Amount'!$B$3:$J$24,4,FALSE)&lt;VLOOKUP(H68,'Claim Amount'!$B$3:$J$24,5,FALSE),VLOOKUP(H68,'Claim Amount'!$B$3:$J$24,5,FALSE),I68*VLOOKUP(H68,'Claim Amount'!$B$3:$J$24,4,FALSE))</f>
        <v>#N/A</v>
      </c>
      <c r="K68" s="13" t="e">
        <f>VLOOKUP(F68,'Claim Amount'!$B$3:$J$13,4,FALSE)</f>
        <v>#N/A</v>
      </c>
      <c r="L68" s="13" t="e">
        <f t="shared" si="1"/>
        <v>#N/A</v>
      </c>
      <c r="M68" s="61" t="e" cm="1">
        <f t="array" ref="M68">[1]!SPELLNUMBER(L68)</f>
        <v>#VALUE!</v>
      </c>
    </row>
    <row r="69" spans="1:13" s="1" customFormat="1" ht="18.600000000000001" customHeight="1" x14ac:dyDescent="0.25">
      <c r="A69" s="1" t="s">
        <v>211</v>
      </c>
      <c r="B69" s="13" t="s">
        <v>122</v>
      </c>
      <c r="C69" s="13">
        <f>'Paste here'!Y69</f>
        <v>0</v>
      </c>
      <c r="D69" s="13">
        <f>'Paste here'!Z69</f>
        <v>0</v>
      </c>
      <c r="E69" s="13" t="s">
        <v>47</v>
      </c>
      <c r="F69" s="13">
        <f>'Paste here'!E69</f>
        <v>0</v>
      </c>
      <c r="G69" s="13">
        <f>'Paste here'!F69</f>
        <v>0</v>
      </c>
      <c r="H69" s="13">
        <f>'Paste here'!G69</f>
        <v>0</v>
      </c>
      <c r="I69" s="13">
        <f>'Paste here'!N69</f>
        <v>0</v>
      </c>
      <c r="J69" s="13" t="e">
        <f>IF(I69*VLOOKUP(H69,'Claim Amount'!$B$3:$J$24,4,FALSE)&lt;VLOOKUP(H69,'Claim Amount'!$B$3:$J$24,5,FALSE),VLOOKUP(H69,'Claim Amount'!$B$3:$J$24,5,FALSE),I69*VLOOKUP(H69,'Claim Amount'!$B$3:$J$24,4,FALSE))</f>
        <v>#N/A</v>
      </c>
      <c r="K69" s="13" t="e">
        <f>VLOOKUP(F69,'Claim Amount'!$B$3:$J$13,4,FALSE)</f>
        <v>#N/A</v>
      </c>
      <c r="L69" s="13" t="e">
        <f t="shared" si="1"/>
        <v>#N/A</v>
      </c>
      <c r="M69" s="61" t="e" cm="1">
        <f t="array" ref="M69">[1]!SPELLNUMBER(L69)</f>
        <v>#VALUE!</v>
      </c>
    </row>
    <row r="70" spans="1:13" s="1" customFormat="1" ht="18.600000000000001" customHeight="1" x14ac:dyDescent="0.25">
      <c r="A70" s="1" t="s">
        <v>212</v>
      </c>
      <c r="B70" s="13" t="s">
        <v>122</v>
      </c>
      <c r="C70" s="13">
        <f>'Paste here'!Y70</f>
        <v>0</v>
      </c>
      <c r="D70" s="13">
        <f>'Paste here'!Z70</f>
        <v>0</v>
      </c>
      <c r="E70" s="13" t="s">
        <v>47</v>
      </c>
      <c r="F70" s="13">
        <f>'Paste here'!E70</f>
        <v>0</v>
      </c>
      <c r="G70" s="13">
        <f>'Paste here'!F70</f>
        <v>0</v>
      </c>
      <c r="H70" s="13">
        <f>'Paste here'!G70</f>
        <v>0</v>
      </c>
      <c r="I70" s="13">
        <f>'Paste here'!N70</f>
        <v>0</v>
      </c>
      <c r="J70" s="13" t="e">
        <f>IF(I70*VLOOKUP(H70,'Claim Amount'!$B$3:$J$24,4,FALSE)&lt;VLOOKUP(H70,'Claim Amount'!$B$3:$J$24,5,FALSE),VLOOKUP(H70,'Claim Amount'!$B$3:$J$24,5,FALSE),I70*VLOOKUP(H70,'Claim Amount'!$B$3:$J$24,4,FALSE))</f>
        <v>#N/A</v>
      </c>
      <c r="K70" s="13" t="e">
        <f>VLOOKUP(F70,'Claim Amount'!$B$3:$J$13,4,FALSE)</f>
        <v>#N/A</v>
      </c>
      <c r="L70" s="13" t="e">
        <f t="shared" si="1"/>
        <v>#N/A</v>
      </c>
      <c r="M70" s="61" t="e" cm="1">
        <f t="array" ref="M70">[1]!SPELLNUMBER(L70)</f>
        <v>#VALUE!</v>
      </c>
    </row>
    <row r="71" spans="1:13" s="1" customFormat="1" ht="18.600000000000001" customHeight="1" x14ac:dyDescent="0.25">
      <c r="A71" s="1" t="s">
        <v>213</v>
      </c>
      <c r="B71" s="13" t="s">
        <v>122</v>
      </c>
      <c r="C71" s="13">
        <f>'Paste here'!Y71</f>
        <v>0</v>
      </c>
      <c r="D71" s="13">
        <f>'Paste here'!Z71</f>
        <v>0</v>
      </c>
      <c r="E71" s="13" t="s">
        <v>47</v>
      </c>
      <c r="F71" s="13">
        <f>'Paste here'!E71</f>
        <v>0</v>
      </c>
      <c r="G71" s="13">
        <f>'Paste here'!F71</f>
        <v>0</v>
      </c>
      <c r="H71" s="13">
        <f>'Paste here'!G71</f>
        <v>0</v>
      </c>
      <c r="I71" s="13">
        <f>'Paste here'!N71</f>
        <v>0</v>
      </c>
      <c r="J71" s="13" t="e">
        <f>IF(I71*VLOOKUP(H71,'Claim Amount'!$B$3:$J$24,4,FALSE)&lt;VLOOKUP(H71,'Claim Amount'!$B$3:$J$24,5,FALSE),VLOOKUP(H71,'Claim Amount'!$B$3:$J$24,5,FALSE),I71*VLOOKUP(H71,'Claim Amount'!$B$3:$J$24,4,FALSE))</f>
        <v>#N/A</v>
      </c>
      <c r="K71" s="13" t="e">
        <f>VLOOKUP(F71,'Claim Amount'!$B$3:$J$13,4,FALSE)</f>
        <v>#N/A</v>
      </c>
      <c r="L71" s="13" t="e">
        <f t="shared" si="1"/>
        <v>#N/A</v>
      </c>
      <c r="M71" s="61" t="e" cm="1">
        <f t="array" ref="M71">[1]!SPELLNUMBER(L71)</f>
        <v>#VALUE!</v>
      </c>
    </row>
    <row r="72" spans="1:13" s="1" customFormat="1" ht="18.600000000000001" customHeight="1" x14ac:dyDescent="0.25">
      <c r="A72" s="1" t="s">
        <v>214</v>
      </c>
      <c r="B72" s="13" t="s">
        <v>122</v>
      </c>
      <c r="C72" s="13">
        <f>'Paste here'!Y72</f>
        <v>0</v>
      </c>
      <c r="D72" s="13">
        <f>'Paste here'!Z72</f>
        <v>0</v>
      </c>
      <c r="E72" s="13" t="s">
        <v>47</v>
      </c>
      <c r="F72" s="13">
        <f>'Paste here'!E72</f>
        <v>0</v>
      </c>
      <c r="G72" s="13">
        <f>'Paste here'!F72</f>
        <v>0</v>
      </c>
      <c r="H72" s="13">
        <f>'Paste here'!G72</f>
        <v>0</v>
      </c>
      <c r="I72" s="13">
        <f>'Paste here'!N72</f>
        <v>0</v>
      </c>
      <c r="J72" s="13" t="e">
        <f>IF(I72*VLOOKUP(H72,'Claim Amount'!$B$3:$J$24,4,FALSE)&lt;VLOOKUP(H72,'Claim Amount'!$B$3:$J$24,5,FALSE),VLOOKUP(H72,'Claim Amount'!$B$3:$J$24,5,FALSE),I72*VLOOKUP(H72,'Claim Amount'!$B$3:$J$24,4,FALSE))</f>
        <v>#N/A</v>
      </c>
      <c r="K72" s="13" t="e">
        <f>VLOOKUP(F72,'Claim Amount'!$B$3:$J$13,4,FALSE)</f>
        <v>#N/A</v>
      </c>
      <c r="L72" s="13" t="e">
        <f t="shared" si="1"/>
        <v>#N/A</v>
      </c>
      <c r="M72" s="61" t="e" cm="1">
        <f t="array" ref="M72">[1]!SPELLNUMBER(L72)</f>
        <v>#VALUE!</v>
      </c>
    </row>
    <row r="73" spans="1:13" s="1" customFormat="1" ht="18.600000000000001" customHeight="1" x14ac:dyDescent="0.25">
      <c r="A73" s="1" t="s">
        <v>215</v>
      </c>
      <c r="B73" s="13" t="s">
        <v>122</v>
      </c>
      <c r="C73" s="13">
        <f>'Paste here'!Y73</f>
        <v>0</v>
      </c>
      <c r="D73" s="13">
        <f>'Paste here'!Z73</f>
        <v>0</v>
      </c>
      <c r="E73" s="13" t="s">
        <v>47</v>
      </c>
      <c r="F73" s="13">
        <f>'Paste here'!E73</f>
        <v>0</v>
      </c>
      <c r="G73" s="13">
        <f>'Paste here'!F73</f>
        <v>0</v>
      </c>
      <c r="H73" s="13">
        <f>'Paste here'!G73</f>
        <v>0</v>
      </c>
      <c r="I73" s="13">
        <f>'Paste here'!N73</f>
        <v>0</v>
      </c>
      <c r="J73" s="13" t="e">
        <f>IF(I73*VLOOKUP(H73,'Claim Amount'!$B$3:$J$24,4,FALSE)&lt;VLOOKUP(H73,'Claim Amount'!$B$3:$J$24,5,FALSE),VLOOKUP(H73,'Claim Amount'!$B$3:$J$24,5,FALSE),I73*VLOOKUP(H73,'Claim Amount'!$B$3:$J$24,4,FALSE))</f>
        <v>#N/A</v>
      </c>
      <c r="K73" s="13" t="e">
        <f>VLOOKUP(F73,'Claim Amount'!$B$3:$J$13,4,FALSE)</f>
        <v>#N/A</v>
      </c>
      <c r="L73" s="13" t="e">
        <f t="shared" si="1"/>
        <v>#N/A</v>
      </c>
      <c r="M73" s="61" t="e" cm="1">
        <f t="array" ref="M73">[1]!SPELLNUMBER(L73)</f>
        <v>#VALUE!</v>
      </c>
    </row>
    <row r="74" spans="1:13" s="1" customFormat="1" ht="18.600000000000001" customHeight="1" x14ac:dyDescent="0.25">
      <c r="A74" s="1" t="s">
        <v>216</v>
      </c>
      <c r="B74" s="13" t="s">
        <v>122</v>
      </c>
      <c r="C74" s="13">
        <f>'Paste here'!Y74</f>
        <v>0</v>
      </c>
      <c r="D74" s="13">
        <f>'Paste here'!Z74</f>
        <v>0</v>
      </c>
      <c r="E74" s="13" t="s">
        <v>47</v>
      </c>
      <c r="F74" s="13">
        <f>'Paste here'!E74</f>
        <v>0</v>
      </c>
      <c r="G74" s="13">
        <f>'Paste here'!F74</f>
        <v>0</v>
      </c>
      <c r="H74" s="13">
        <f>'Paste here'!G74</f>
        <v>0</v>
      </c>
      <c r="I74" s="13">
        <f>'Paste here'!N74</f>
        <v>0</v>
      </c>
      <c r="J74" s="13" t="e">
        <f>IF(I74*VLOOKUP(H74,'Claim Amount'!$B$3:$J$24,4,FALSE)&lt;VLOOKUP(H74,'Claim Amount'!$B$3:$J$24,5,FALSE),VLOOKUP(H74,'Claim Amount'!$B$3:$J$24,5,FALSE),I74*VLOOKUP(H74,'Claim Amount'!$B$3:$J$24,4,FALSE))</f>
        <v>#N/A</v>
      </c>
      <c r="K74" s="13" t="e">
        <f>VLOOKUP(F74,'Claim Amount'!$B$3:$J$13,4,FALSE)</f>
        <v>#N/A</v>
      </c>
      <c r="L74" s="13" t="e">
        <f t="shared" si="1"/>
        <v>#N/A</v>
      </c>
      <c r="M74" s="61" t="e" cm="1">
        <f t="array" ref="M74">[1]!SPELLNUMBER(L74)</f>
        <v>#VALUE!</v>
      </c>
    </row>
    <row r="75" spans="1:13" s="1" customFormat="1" ht="18.600000000000001" customHeight="1" x14ac:dyDescent="0.25">
      <c r="A75" s="1" t="s">
        <v>217</v>
      </c>
      <c r="B75" s="13" t="s">
        <v>122</v>
      </c>
      <c r="C75" s="13">
        <f>'Paste here'!Y75</f>
        <v>0</v>
      </c>
      <c r="D75" s="13">
        <f>'Paste here'!Z75</f>
        <v>0</v>
      </c>
      <c r="E75" s="13" t="s">
        <v>47</v>
      </c>
      <c r="F75" s="13">
        <f>'Paste here'!E75</f>
        <v>0</v>
      </c>
      <c r="G75" s="13">
        <f>'Paste here'!F75</f>
        <v>0</v>
      </c>
      <c r="H75" s="13">
        <f>'Paste here'!G75</f>
        <v>0</v>
      </c>
      <c r="I75" s="13">
        <f>'Paste here'!N75</f>
        <v>0</v>
      </c>
      <c r="J75" s="13" t="e">
        <f>IF(I75*VLOOKUP(H75,'Claim Amount'!$B$3:$J$24,4,FALSE)&lt;VLOOKUP(H75,'Claim Amount'!$B$3:$J$24,5,FALSE),VLOOKUP(H75,'Claim Amount'!$B$3:$J$24,5,FALSE),I75*VLOOKUP(H75,'Claim Amount'!$B$3:$J$24,4,FALSE))</f>
        <v>#N/A</v>
      </c>
      <c r="K75" s="13" t="e">
        <f>VLOOKUP(F75,'Claim Amount'!$B$3:$J$13,4,FALSE)</f>
        <v>#N/A</v>
      </c>
      <c r="L75" s="13" t="e">
        <f t="shared" si="1"/>
        <v>#N/A</v>
      </c>
      <c r="M75" s="61" t="e" cm="1">
        <f t="array" ref="M75">[1]!SPELLNUMBER(L75)</f>
        <v>#VALUE!</v>
      </c>
    </row>
    <row r="76" spans="1:13" s="1" customFormat="1" ht="18.600000000000001" customHeight="1" x14ac:dyDescent="0.25">
      <c r="A76" s="1" t="s">
        <v>218</v>
      </c>
      <c r="B76" s="13" t="s">
        <v>122</v>
      </c>
      <c r="C76" s="13">
        <f>'Paste here'!Y76</f>
        <v>0</v>
      </c>
      <c r="D76" s="13">
        <f>'Paste here'!Z76</f>
        <v>0</v>
      </c>
      <c r="E76" s="13" t="s">
        <v>47</v>
      </c>
      <c r="F76" s="13">
        <f>'Paste here'!E76</f>
        <v>0</v>
      </c>
      <c r="G76" s="13">
        <f>'Paste here'!F76</f>
        <v>0</v>
      </c>
      <c r="H76" s="13">
        <f>'Paste here'!G76</f>
        <v>0</v>
      </c>
      <c r="I76" s="13">
        <f>'Paste here'!N76</f>
        <v>0</v>
      </c>
      <c r="J76" s="13" t="e">
        <f>IF(I76*VLOOKUP(H76,'Claim Amount'!$B$3:$J$24,4,FALSE)&lt;VLOOKUP(H76,'Claim Amount'!$B$3:$J$24,5,FALSE),VLOOKUP(H76,'Claim Amount'!$B$3:$J$24,5,FALSE),I76*VLOOKUP(H76,'Claim Amount'!$B$3:$J$24,4,FALSE))</f>
        <v>#N/A</v>
      </c>
      <c r="K76" s="13" t="e">
        <f>VLOOKUP(F76,'Claim Amount'!$B$3:$J$13,4,FALSE)</f>
        <v>#N/A</v>
      </c>
      <c r="L76" s="13" t="e">
        <f t="shared" si="1"/>
        <v>#N/A</v>
      </c>
      <c r="M76" s="61" t="e" cm="1">
        <f t="array" ref="M76">[1]!SPELLNUMBER(L76)</f>
        <v>#VALUE!</v>
      </c>
    </row>
    <row r="77" spans="1:13" s="1" customFormat="1" ht="18.600000000000001" customHeight="1" x14ac:dyDescent="0.25">
      <c r="A77" s="1" t="s">
        <v>219</v>
      </c>
      <c r="B77" s="13" t="s">
        <v>122</v>
      </c>
      <c r="C77" s="13">
        <f>'Paste here'!Y77</f>
        <v>0</v>
      </c>
      <c r="D77" s="13">
        <f>'Paste here'!Z77</f>
        <v>0</v>
      </c>
      <c r="E77" s="13" t="s">
        <v>47</v>
      </c>
      <c r="F77" s="13">
        <f>'Paste here'!E77</f>
        <v>0</v>
      </c>
      <c r="G77" s="13">
        <f>'Paste here'!F77</f>
        <v>0</v>
      </c>
      <c r="H77" s="13">
        <f>'Paste here'!G77</f>
        <v>0</v>
      </c>
      <c r="I77" s="13">
        <f>'Paste here'!N77</f>
        <v>0</v>
      </c>
      <c r="J77" s="13" t="e">
        <f>IF(I77*VLOOKUP(H77,'Claim Amount'!$B$3:$J$24,4,FALSE)&lt;VLOOKUP(H77,'Claim Amount'!$B$3:$J$24,5,FALSE),VLOOKUP(H77,'Claim Amount'!$B$3:$J$24,5,FALSE),I77*VLOOKUP(H77,'Claim Amount'!$B$3:$J$24,4,FALSE))</f>
        <v>#N/A</v>
      </c>
      <c r="K77" s="13" t="e">
        <f>VLOOKUP(F77,'Claim Amount'!$B$3:$J$13,4,FALSE)</f>
        <v>#N/A</v>
      </c>
      <c r="L77" s="13" t="e">
        <f t="shared" si="1"/>
        <v>#N/A</v>
      </c>
      <c r="M77" s="61" t="e" cm="1">
        <f t="array" ref="M77">[1]!SPELLNUMBER(L77)</f>
        <v>#VALUE!</v>
      </c>
    </row>
    <row r="78" spans="1:13" s="1" customFormat="1" ht="18.600000000000001" customHeight="1" x14ac:dyDescent="0.25">
      <c r="A78" s="1" t="s">
        <v>220</v>
      </c>
      <c r="B78" s="13" t="s">
        <v>122</v>
      </c>
      <c r="C78" s="13">
        <f>'Paste here'!Y78</f>
        <v>0</v>
      </c>
      <c r="D78" s="13">
        <f>'Paste here'!Z78</f>
        <v>0</v>
      </c>
      <c r="E78" s="13" t="s">
        <v>47</v>
      </c>
      <c r="F78" s="13">
        <f>'Paste here'!E78</f>
        <v>0</v>
      </c>
      <c r="G78" s="13">
        <f>'Paste here'!F78</f>
        <v>0</v>
      </c>
      <c r="H78" s="13">
        <f>'Paste here'!G78</f>
        <v>0</v>
      </c>
      <c r="I78" s="13">
        <f>'Paste here'!N78</f>
        <v>0</v>
      </c>
      <c r="J78" s="13" t="e">
        <f>IF(I78*VLOOKUP(H78,'Claim Amount'!$B$3:$J$24,4,FALSE)&lt;VLOOKUP(H78,'Claim Amount'!$B$3:$J$24,5,FALSE),VLOOKUP(H78,'Claim Amount'!$B$3:$J$24,5,FALSE),I78*VLOOKUP(H78,'Claim Amount'!$B$3:$J$24,4,FALSE))</f>
        <v>#N/A</v>
      </c>
      <c r="K78" s="13" t="e">
        <f>VLOOKUP(F78,'Claim Amount'!$B$3:$J$13,4,FALSE)</f>
        <v>#N/A</v>
      </c>
      <c r="L78" s="13" t="e">
        <f t="shared" si="1"/>
        <v>#N/A</v>
      </c>
      <c r="M78" s="61" t="e" cm="1">
        <f t="array" ref="M78">[1]!SPELLNUMBER(L78)</f>
        <v>#VALUE!</v>
      </c>
    </row>
    <row r="79" spans="1:13" s="1" customFormat="1" ht="18.600000000000001" customHeight="1" x14ac:dyDescent="0.25">
      <c r="A79" s="1" t="s">
        <v>221</v>
      </c>
      <c r="B79" s="13" t="s">
        <v>122</v>
      </c>
      <c r="C79" s="13">
        <f>'Paste here'!Y79</f>
        <v>0</v>
      </c>
      <c r="D79" s="13">
        <f>'Paste here'!Z79</f>
        <v>0</v>
      </c>
      <c r="E79" s="13" t="s">
        <v>47</v>
      </c>
      <c r="F79" s="13">
        <f>'Paste here'!E79</f>
        <v>0</v>
      </c>
      <c r="G79" s="13">
        <f>'Paste here'!F79</f>
        <v>0</v>
      </c>
      <c r="H79" s="13">
        <f>'Paste here'!G79</f>
        <v>0</v>
      </c>
      <c r="I79" s="13">
        <f>'Paste here'!N79</f>
        <v>0</v>
      </c>
      <c r="J79" s="13" t="e">
        <f>IF(I79*VLOOKUP(H79,'Claim Amount'!$B$3:$J$24,4,FALSE)&lt;VLOOKUP(H79,'Claim Amount'!$B$3:$J$24,5,FALSE),VLOOKUP(H79,'Claim Amount'!$B$3:$J$24,5,FALSE),I79*VLOOKUP(H79,'Claim Amount'!$B$3:$J$24,4,FALSE))</f>
        <v>#N/A</v>
      </c>
      <c r="K79" s="13" t="e">
        <f>VLOOKUP(F79,'Claim Amount'!$B$3:$J$13,4,FALSE)</f>
        <v>#N/A</v>
      </c>
      <c r="L79" s="13" t="e">
        <f t="shared" si="1"/>
        <v>#N/A</v>
      </c>
      <c r="M79" s="61" t="e" cm="1">
        <f t="array" ref="M79">[1]!SPELLNUMBER(L79)</f>
        <v>#VALUE!</v>
      </c>
    </row>
    <row r="80" spans="1:13" s="1" customFormat="1" ht="18.600000000000001" customHeight="1" x14ac:dyDescent="0.25">
      <c r="A80" s="1" t="s">
        <v>222</v>
      </c>
      <c r="B80" s="13" t="s">
        <v>122</v>
      </c>
      <c r="C80" s="13">
        <f>'Paste here'!Y80</f>
        <v>0</v>
      </c>
      <c r="D80" s="13">
        <f>'Paste here'!Z80</f>
        <v>0</v>
      </c>
      <c r="E80" s="13" t="s">
        <v>47</v>
      </c>
      <c r="F80" s="13">
        <f>'Paste here'!E80</f>
        <v>0</v>
      </c>
      <c r="G80" s="13">
        <f>'Paste here'!F80</f>
        <v>0</v>
      </c>
      <c r="H80" s="13">
        <f>'Paste here'!G80</f>
        <v>0</v>
      </c>
      <c r="I80" s="13">
        <f>'Paste here'!N80</f>
        <v>0</v>
      </c>
      <c r="J80" s="13" t="e">
        <f>IF(I80*VLOOKUP(H80,'Claim Amount'!$B$3:$J$24,4,FALSE)&lt;VLOOKUP(H80,'Claim Amount'!$B$3:$J$24,5,FALSE),VLOOKUP(H80,'Claim Amount'!$B$3:$J$24,5,FALSE),I80*VLOOKUP(H80,'Claim Amount'!$B$3:$J$24,4,FALSE))</f>
        <v>#N/A</v>
      </c>
      <c r="K80" s="13" t="e">
        <f>VLOOKUP(F80,'Claim Amount'!$B$3:$J$13,4,FALSE)</f>
        <v>#N/A</v>
      </c>
      <c r="L80" s="13" t="e">
        <f t="shared" si="1"/>
        <v>#N/A</v>
      </c>
      <c r="M80" s="61" t="e" cm="1">
        <f t="array" ref="M80">[1]!SPELLNUMBER(L80)</f>
        <v>#VALUE!</v>
      </c>
    </row>
    <row r="81" spans="1:13" s="1" customFormat="1" ht="18.600000000000001" customHeight="1" x14ac:dyDescent="0.25">
      <c r="A81" s="1" t="s">
        <v>223</v>
      </c>
      <c r="B81" s="13" t="s">
        <v>122</v>
      </c>
      <c r="C81" s="13">
        <f>'Paste here'!Y81</f>
        <v>0</v>
      </c>
      <c r="D81" s="13">
        <f>'Paste here'!Z81</f>
        <v>0</v>
      </c>
      <c r="E81" s="13" t="s">
        <v>47</v>
      </c>
      <c r="F81" s="13">
        <f>'Paste here'!E81</f>
        <v>0</v>
      </c>
      <c r="G81" s="13">
        <f>'Paste here'!F81</f>
        <v>0</v>
      </c>
      <c r="H81" s="13">
        <f>'Paste here'!G81</f>
        <v>0</v>
      </c>
      <c r="I81" s="13">
        <f>'Paste here'!N81</f>
        <v>0</v>
      </c>
      <c r="J81" s="13" t="e">
        <f>IF(I81*VLOOKUP(H81,'Claim Amount'!$B$3:$J$24,4,FALSE)&lt;VLOOKUP(H81,'Claim Amount'!$B$3:$J$24,5,FALSE),VLOOKUP(H81,'Claim Amount'!$B$3:$J$24,5,FALSE),I81*VLOOKUP(H81,'Claim Amount'!$B$3:$J$24,4,FALSE))</f>
        <v>#N/A</v>
      </c>
      <c r="K81" s="13" t="e">
        <f>VLOOKUP(F81,'Claim Amount'!$B$3:$J$13,4,FALSE)</f>
        <v>#N/A</v>
      </c>
      <c r="L81" s="13" t="e">
        <f t="shared" si="1"/>
        <v>#N/A</v>
      </c>
      <c r="M81" s="61" t="e" cm="1">
        <f t="array" ref="M81">[1]!SPELLNUMBER(L81)</f>
        <v>#VALUE!</v>
      </c>
    </row>
    <row r="82" spans="1:13" s="1" customFormat="1" ht="18.600000000000001" customHeight="1" x14ac:dyDescent="0.25">
      <c r="A82" s="1" t="s">
        <v>224</v>
      </c>
      <c r="B82" s="13" t="s">
        <v>122</v>
      </c>
      <c r="C82" s="13">
        <f>'Paste here'!Y82</f>
        <v>0</v>
      </c>
      <c r="D82" s="13">
        <f>'Paste here'!Z82</f>
        <v>0</v>
      </c>
      <c r="E82" s="13" t="s">
        <v>47</v>
      </c>
      <c r="F82" s="13">
        <f>'Paste here'!E82</f>
        <v>0</v>
      </c>
      <c r="G82" s="13">
        <f>'Paste here'!F82</f>
        <v>0</v>
      </c>
      <c r="H82" s="13">
        <f>'Paste here'!G82</f>
        <v>0</v>
      </c>
      <c r="I82" s="13">
        <f>'Paste here'!N82</f>
        <v>0</v>
      </c>
      <c r="J82" s="13" t="e">
        <f>IF(I82*VLOOKUP(H82,'Claim Amount'!$B$3:$J$24,4,FALSE)&lt;VLOOKUP(H82,'Claim Amount'!$B$3:$J$24,5,FALSE),VLOOKUP(H82,'Claim Amount'!$B$3:$J$24,5,FALSE),I82*VLOOKUP(H82,'Claim Amount'!$B$3:$J$24,4,FALSE))</f>
        <v>#N/A</v>
      </c>
      <c r="K82" s="13" t="e">
        <f>VLOOKUP(F82,'Claim Amount'!$B$3:$J$13,4,FALSE)</f>
        <v>#N/A</v>
      </c>
      <c r="L82" s="13" t="e">
        <f t="shared" si="1"/>
        <v>#N/A</v>
      </c>
      <c r="M82" s="61" t="e" cm="1">
        <f t="array" ref="M82">[1]!SPELLNUMBER(L82)</f>
        <v>#VALUE!</v>
      </c>
    </row>
    <row r="83" spans="1:13" s="1" customFormat="1" ht="18.600000000000001" customHeight="1" x14ac:dyDescent="0.25">
      <c r="A83" s="1" t="s">
        <v>225</v>
      </c>
      <c r="B83" s="13" t="s">
        <v>122</v>
      </c>
      <c r="C83" s="13">
        <f>'Paste here'!Y83</f>
        <v>0</v>
      </c>
      <c r="D83" s="13">
        <f>'Paste here'!Z83</f>
        <v>0</v>
      </c>
      <c r="E83" s="13" t="s">
        <v>47</v>
      </c>
      <c r="F83" s="13">
        <f>'Paste here'!E83</f>
        <v>0</v>
      </c>
      <c r="G83" s="13">
        <f>'Paste here'!F83</f>
        <v>0</v>
      </c>
      <c r="H83" s="13">
        <f>'Paste here'!G83</f>
        <v>0</v>
      </c>
      <c r="I83" s="13">
        <f>'Paste here'!N83</f>
        <v>0</v>
      </c>
      <c r="J83" s="13" t="e">
        <f>IF(I83*VLOOKUP(H83,'Claim Amount'!$B$3:$J$24,4,FALSE)&lt;VLOOKUP(H83,'Claim Amount'!$B$3:$J$24,5,FALSE),VLOOKUP(H83,'Claim Amount'!$B$3:$J$24,5,FALSE),I83*VLOOKUP(H83,'Claim Amount'!$B$3:$J$24,4,FALSE))</f>
        <v>#N/A</v>
      </c>
      <c r="K83" s="13" t="e">
        <f>VLOOKUP(F83,'Claim Amount'!$B$3:$J$13,4,FALSE)</f>
        <v>#N/A</v>
      </c>
      <c r="L83" s="13" t="e">
        <f t="shared" si="1"/>
        <v>#N/A</v>
      </c>
      <c r="M83" s="61" t="e" cm="1">
        <f t="array" ref="M83">[1]!SPELLNUMBER(L83)</f>
        <v>#VALUE!</v>
      </c>
    </row>
    <row r="84" spans="1:13" s="1" customFormat="1" ht="18.600000000000001" customHeight="1" x14ac:dyDescent="0.25">
      <c r="A84" s="1" t="s">
        <v>226</v>
      </c>
      <c r="B84" s="13" t="s">
        <v>122</v>
      </c>
      <c r="C84" s="13">
        <f>'Paste here'!Y84</f>
        <v>0</v>
      </c>
      <c r="D84" s="13">
        <f>'Paste here'!Z84</f>
        <v>0</v>
      </c>
      <c r="E84" s="13" t="s">
        <v>47</v>
      </c>
      <c r="F84" s="13">
        <f>'Paste here'!E84</f>
        <v>0</v>
      </c>
      <c r="G84" s="13">
        <f>'Paste here'!F84</f>
        <v>0</v>
      </c>
      <c r="H84" s="13">
        <f>'Paste here'!G84</f>
        <v>0</v>
      </c>
      <c r="I84" s="13">
        <f>'Paste here'!N84</f>
        <v>0</v>
      </c>
      <c r="J84" s="13" t="e">
        <f>IF(I84*VLOOKUP(H84,'Claim Amount'!$B$3:$J$24,4,FALSE)&lt;VLOOKUP(H84,'Claim Amount'!$B$3:$J$24,5,FALSE),VLOOKUP(H84,'Claim Amount'!$B$3:$J$24,5,FALSE),I84*VLOOKUP(H84,'Claim Amount'!$B$3:$J$24,4,FALSE))</f>
        <v>#N/A</v>
      </c>
      <c r="K84" s="13" t="e">
        <f>VLOOKUP(F84,'Claim Amount'!$B$3:$J$13,4,FALSE)</f>
        <v>#N/A</v>
      </c>
      <c r="L84" s="13" t="e">
        <f t="shared" si="1"/>
        <v>#N/A</v>
      </c>
      <c r="M84" s="61" t="e" cm="1">
        <f t="array" ref="M84">[1]!SPELLNUMBER(L84)</f>
        <v>#VALUE!</v>
      </c>
    </row>
    <row r="85" spans="1:13" s="1" customFormat="1" ht="18.600000000000001" customHeight="1" x14ac:dyDescent="0.25">
      <c r="A85" s="1" t="s">
        <v>227</v>
      </c>
      <c r="B85" s="13" t="s">
        <v>122</v>
      </c>
      <c r="C85" s="13">
        <f>'Paste here'!Y85</f>
        <v>0</v>
      </c>
      <c r="D85" s="13">
        <f>'Paste here'!Z85</f>
        <v>0</v>
      </c>
      <c r="E85" s="13" t="s">
        <v>47</v>
      </c>
      <c r="F85" s="13">
        <f>'Paste here'!E85</f>
        <v>0</v>
      </c>
      <c r="G85" s="13">
        <f>'Paste here'!F85</f>
        <v>0</v>
      </c>
      <c r="H85" s="13">
        <f>'Paste here'!G85</f>
        <v>0</v>
      </c>
      <c r="I85" s="13">
        <f>'Paste here'!N85</f>
        <v>0</v>
      </c>
      <c r="J85" s="13" t="e">
        <f>IF(I85*VLOOKUP(H85,'Claim Amount'!$B$3:$J$24,4,FALSE)&lt;VLOOKUP(H85,'Claim Amount'!$B$3:$J$24,5,FALSE),VLOOKUP(H85,'Claim Amount'!$B$3:$J$24,5,FALSE),I85*VLOOKUP(H85,'Claim Amount'!$B$3:$J$24,4,FALSE))</f>
        <v>#N/A</v>
      </c>
      <c r="K85" s="13" t="e">
        <f>VLOOKUP(F85,'Claim Amount'!$B$3:$J$13,4,FALSE)</f>
        <v>#N/A</v>
      </c>
      <c r="L85" s="13" t="e">
        <f t="shared" si="1"/>
        <v>#N/A</v>
      </c>
      <c r="M85" s="61" t="e" cm="1">
        <f t="array" ref="M85">[1]!SPELLNUMBER(L85)</f>
        <v>#VALUE!</v>
      </c>
    </row>
    <row r="86" spans="1:13" s="1" customFormat="1" ht="18.600000000000001" customHeight="1" x14ac:dyDescent="0.25">
      <c r="A86" s="1" t="s">
        <v>228</v>
      </c>
      <c r="B86" s="13" t="s">
        <v>122</v>
      </c>
      <c r="C86" s="13">
        <f>'Paste here'!Y86</f>
        <v>0</v>
      </c>
      <c r="D86" s="13">
        <f>'Paste here'!Z86</f>
        <v>0</v>
      </c>
      <c r="E86" s="13" t="s">
        <v>47</v>
      </c>
      <c r="F86" s="13">
        <f>'Paste here'!E86</f>
        <v>0</v>
      </c>
      <c r="G86" s="13">
        <f>'Paste here'!F86</f>
        <v>0</v>
      </c>
      <c r="H86" s="13">
        <f>'Paste here'!G86</f>
        <v>0</v>
      </c>
      <c r="I86" s="13">
        <f>'Paste here'!N86</f>
        <v>0</v>
      </c>
      <c r="J86" s="13" t="e">
        <f>IF(I86*VLOOKUP(H86,'Claim Amount'!$B$3:$J$24,4,FALSE)&lt;VLOOKUP(H86,'Claim Amount'!$B$3:$J$24,5,FALSE),VLOOKUP(H86,'Claim Amount'!$B$3:$J$24,5,FALSE),I86*VLOOKUP(H86,'Claim Amount'!$B$3:$J$24,4,FALSE))</f>
        <v>#N/A</v>
      </c>
      <c r="K86" s="13" t="e">
        <f>VLOOKUP(F86,'Claim Amount'!$B$3:$J$13,4,FALSE)</f>
        <v>#N/A</v>
      </c>
      <c r="L86" s="13" t="e">
        <f t="shared" si="1"/>
        <v>#N/A</v>
      </c>
      <c r="M86" s="61" t="e" cm="1">
        <f t="array" ref="M86">[1]!SPELLNUMBER(L86)</f>
        <v>#VALUE!</v>
      </c>
    </row>
    <row r="87" spans="1:13" s="1" customFormat="1" ht="18.600000000000001" customHeight="1" x14ac:dyDescent="0.25">
      <c r="A87" s="1" t="s">
        <v>229</v>
      </c>
      <c r="B87" s="13" t="s">
        <v>122</v>
      </c>
      <c r="C87" s="13">
        <f>'Paste here'!Y87</f>
        <v>0</v>
      </c>
      <c r="D87" s="13">
        <f>'Paste here'!Z87</f>
        <v>0</v>
      </c>
      <c r="E87" s="13" t="s">
        <v>47</v>
      </c>
      <c r="F87" s="13">
        <f>'Paste here'!E87</f>
        <v>0</v>
      </c>
      <c r="G87" s="13">
        <f>'Paste here'!F87</f>
        <v>0</v>
      </c>
      <c r="H87" s="13">
        <f>'Paste here'!G87</f>
        <v>0</v>
      </c>
      <c r="I87" s="13">
        <f>'Paste here'!N87</f>
        <v>0</v>
      </c>
      <c r="J87" s="13" t="e">
        <f>IF(I87*VLOOKUP(H87,'Claim Amount'!$B$3:$J$24,4,FALSE)&lt;VLOOKUP(H87,'Claim Amount'!$B$3:$J$24,5,FALSE),VLOOKUP(H87,'Claim Amount'!$B$3:$J$24,5,FALSE),I87*VLOOKUP(H87,'Claim Amount'!$B$3:$J$24,4,FALSE))</f>
        <v>#N/A</v>
      </c>
      <c r="K87" s="13" t="e">
        <f>VLOOKUP(F87,'Claim Amount'!$B$3:$J$13,4,FALSE)</f>
        <v>#N/A</v>
      </c>
      <c r="L87" s="13" t="e">
        <f t="shared" si="1"/>
        <v>#N/A</v>
      </c>
      <c r="M87" s="61" t="e" cm="1">
        <f t="array" ref="M87">[1]!SPELLNUMBER(L87)</f>
        <v>#VALUE!</v>
      </c>
    </row>
    <row r="88" spans="1:13" s="1" customFormat="1" ht="18.600000000000001" customHeight="1" x14ac:dyDescent="0.25">
      <c r="A88" s="1" t="s">
        <v>230</v>
      </c>
      <c r="B88" s="13" t="s">
        <v>122</v>
      </c>
      <c r="C88" s="13">
        <f>'Paste here'!Y88</f>
        <v>0</v>
      </c>
      <c r="D88" s="13">
        <f>'Paste here'!Z88</f>
        <v>0</v>
      </c>
      <c r="E88" s="13" t="s">
        <v>47</v>
      </c>
      <c r="F88" s="13">
        <f>'Paste here'!E88</f>
        <v>0</v>
      </c>
      <c r="G88" s="13">
        <f>'Paste here'!F88</f>
        <v>0</v>
      </c>
      <c r="H88" s="13">
        <f>'Paste here'!G88</f>
        <v>0</v>
      </c>
      <c r="I88" s="13">
        <f>'Paste here'!N88</f>
        <v>0</v>
      </c>
      <c r="J88" s="13" t="e">
        <f>IF(I88*VLOOKUP(H88,'Claim Amount'!$B$3:$J$24,4,FALSE)&lt;VLOOKUP(H88,'Claim Amount'!$B$3:$J$24,5,FALSE),VLOOKUP(H88,'Claim Amount'!$B$3:$J$24,5,FALSE),I88*VLOOKUP(H88,'Claim Amount'!$B$3:$J$24,4,FALSE))</f>
        <v>#N/A</v>
      </c>
      <c r="K88" s="13" t="e">
        <f>VLOOKUP(F88,'Claim Amount'!$B$3:$J$13,4,FALSE)</f>
        <v>#N/A</v>
      </c>
      <c r="L88" s="13" t="e">
        <f t="shared" si="1"/>
        <v>#N/A</v>
      </c>
      <c r="M88" s="61" t="e" cm="1">
        <f t="array" ref="M88">[1]!SPELLNUMBER(L88)</f>
        <v>#VALUE!</v>
      </c>
    </row>
    <row r="89" spans="1:13" s="1" customFormat="1" ht="18.600000000000001" customHeight="1" x14ac:dyDescent="0.25">
      <c r="A89" s="1" t="s">
        <v>231</v>
      </c>
      <c r="B89" s="13" t="s">
        <v>122</v>
      </c>
      <c r="C89" s="13">
        <f>'Paste here'!Y89</f>
        <v>0</v>
      </c>
      <c r="D89" s="13">
        <f>'Paste here'!Z89</f>
        <v>0</v>
      </c>
      <c r="E89" s="13" t="s">
        <v>47</v>
      </c>
      <c r="F89" s="13">
        <f>'Paste here'!E89</f>
        <v>0</v>
      </c>
      <c r="G89" s="13">
        <f>'Paste here'!F89</f>
        <v>0</v>
      </c>
      <c r="H89" s="13">
        <f>'Paste here'!G89</f>
        <v>0</v>
      </c>
      <c r="I89" s="13">
        <f>'Paste here'!N89</f>
        <v>0</v>
      </c>
      <c r="J89" s="13" t="e">
        <f>IF(I89*VLOOKUP(H89,'Claim Amount'!$B$3:$J$24,4,FALSE)&lt;VLOOKUP(H89,'Claim Amount'!$B$3:$J$24,5,FALSE),VLOOKUP(H89,'Claim Amount'!$B$3:$J$24,5,FALSE),I89*VLOOKUP(H89,'Claim Amount'!$B$3:$J$24,4,FALSE))</f>
        <v>#N/A</v>
      </c>
      <c r="K89" s="13" t="e">
        <f>VLOOKUP(F89,'Claim Amount'!$B$3:$J$13,4,FALSE)</f>
        <v>#N/A</v>
      </c>
      <c r="L89" s="13" t="e">
        <f t="shared" si="1"/>
        <v>#N/A</v>
      </c>
      <c r="M89" s="61" t="e" cm="1">
        <f t="array" ref="M89">[1]!SPELLNUMBER(L89)</f>
        <v>#VALUE!</v>
      </c>
    </row>
    <row r="90" spans="1:13" s="1" customFormat="1" ht="18.600000000000001" customHeight="1" x14ac:dyDescent="0.25">
      <c r="A90" s="1" t="s">
        <v>232</v>
      </c>
      <c r="B90" s="13" t="s">
        <v>122</v>
      </c>
      <c r="C90" s="13">
        <f>'Paste here'!Y90</f>
        <v>0</v>
      </c>
      <c r="D90" s="13">
        <f>'Paste here'!Z90</f>
        <v>0</v>
      </c>
      <c r="E90" s="13" t="s">
        <v>47</v>
      </c>
      <c r="F90" s="13">
        <f>'Paste here'!E90</f>
        <v>0</v>
      </c>
      <c r="G90" s="13">
        <f>'Paste here'!F90</f>
        <v>0</v>
      </c>
      <c r="H90" s="13">
        <f>'Paste here'!G90</f>
        <v>0</v>
      </c>
      <c r="I90" s="13">
        <f>'Paste here'!N90</f>
        <v>0</v>
      </c>
      <c r="J90" s="13" t="e">
        <f>IF(I90*VLOOKUP(H90,'Claim Amount'!$B$3:$J$24,4,FALSE)&lt;VLOOKUP(H90,'Claim Amount'!$B$3:$J$24,5,FALSE),VLOOKUP(H90,'Claim Amount'!$B$3:$J$24,5,FALSE),I90*VLOOKUP(H90,'Claim Amount'!$B$3:$J$24,4,FALSE))</f>
        <v>#N/A</v>
      </c>
      <c r="K90" s="13" t="e">
        <f>VLOOKUP(F90,'Claim Amount'!$B$3:$J$13,4,FALSE)</f>
        <v>#N/A</v>
      </c>
      <c r="L90" s="13" t="e">
        <f t="shared" si="1"/>
        <v>#N/A</v>
      </c>
      <c r="M90" s="61" t="e" cm="1">
        <f t="array" ref="M90">[1]!SPELLNUMBER(L90)</f>
        <v>#VALUE!</v>
      </c>
    </row>
    <row r="91" spans="1:13" s="1" customFormat="1" ht="18.600000000000001" customHeight="1" x14ac:dyDescent="0.25">
      <c r="A91" s="1" t="s">
        <v>233</v>
      </c>
      <c r="B91" s="13" t="s">
        <v>122</v>
      </c>
      <c r="C91" s="13">
        <f>'Paste here'!Y91</f>
        <v>0</v>
      </c>
      <c r="D91" s="13">
        <f>'Paste here'!Z91</f>
        <v>0</v>
      </c>
      <c r="E91" s="13" t="s">
        <v>47</v>
      </c>
      <c r="F91" s="13">
        <f>'Paste here'!E91</f>
        <v>0</v>
      </c>
      <c r="G91" s="13">
        <f>'Paste here'!F91</f>
        <v>0</v>
      </c>
      <c r="H91" s="13">
        <f>'Paste here'!G91</f>
        <v>0</v>
      </c>
      <c r="I91" s="13">
        <f>'Paste here'!N91</f>
        <v>0</v>
      </c>
      <c r="J91" s="13" t="e">
        <f>IF(I91*VLOOKUP(H91,'Claim Amount'!$B$3:$J$24,4,FALSE)&lt;VLOOKUP(H91,'Claim Amount'!$B$3:$J$24,5,FALSE),VLOOKUP(H91,'Claim Amount'!$B$3:$J$24,5,FALSE),I91*VLOOKUP(H91,'Claim Amount'!$B$3:$J$24,4,FALSE))</f>
        <v>#N/A</v>
      </c>
      <c r="K91" s="13" t="e">
        <f>VLOOKUP(F91,'Claim Amount'!$B$3:$J$13,4,FALSE)</f>
        <v>#N/A</v>
      </c>
      <c r="L91" s="13" t="e">
        <f t="shared" si="1"/>
        <v>#N/A</v>
      </c>
      <c r="M91" s="61" t="e" cm="1">
        <f t="array" ref="M91">[1]!SPELLNUMBER(L91)</f>
        <v>#VALUE!</v>
      </c>
    </row>
    <row r="92" spans="1:13" s="1" customFormat="1" ht="18.600000000000001" customHeight="1" x14ac:dyDescent="0.25">
      <c r="A92" s="1" t="s">
        <v>234</v>
      </c>
      <c r="B92" s="13" t="s">
        <v>122</v>
      </c>
      <c r="C92" s="13">
        <f>'Paste here'!Y92</f>
        <v>0</v>
      </c>
      <c r="D92" s="13">
        <f>'Paste here'!Z92</f>
        <v>0</v>
      </c>
      <c r="E92" s="13" t="s">
        <v>47</v>
      </c>
      <c r="F92" s="13">
        <f>'Paste here'!E92</f>
        <v>0</v>
      </c>
      <c r="G92" s="13">
        <f>'Paste here'!F92</f>
        <v>0</v>
      </c>
      <c r="H92" s="13">
        <f>'Paste here'!G92</f>
        <v>0</v>
      </c>
      <c r="I92" s="13">
        <f>'Paste here'!N92</f>
        <v>0</v>
      </c>
      <c r="J92" s="13" t="e">
        <f>IF(I92*VLOOKUP(H92,'Claim Amount'!$B$3:$J$24,4,FALSE)&lt;VLOOKUP(H92,'Claim Amount'!$B$3:$J$24,5,FALSE),VLOOKUP(H92,'Claim Amount'!$B$3:$J$24,5,FALSE),I92*VLOOKUP(H92,'Claim Amount'!$B$3:$J$24,4,FALSE))</f>
        <v>#N/A</v>
      </c>
      <c r="K92" s="13" t="e">
        <f>VLOOKUP(F92,'Claim Amount'!$B$3:$J$13,4,FALSE)</f>
        <v>#N/A</v>
      </c>
      <c r="L92" s="13" t="e">
        <f t="shared" si="1"/>
        <v>#N/A</v>
      </c>
      <c r="M92" s="61" t="e" cm="1">
        <f t="array" ref="M92">[1]!SPELLNUMBER(L92)</f>
        <v>#VALUE!</v>
      </c>
    </row>
    <row r="93" spans="1:13" s="1" customFormat="1" ht="18.600000000000001" customHeight="1" x14ac:dyDescent="0.25">
      <c r="A93" s="1" t="s">
        <v>235</v>
      </c>
      <c r="B93" s="13" t="s">
        <v>122</v>
      </c>
      <c r="C93" s="13">
        <f>'Paste here'!Y93</f>
        <v>0</v>
      </c>
      <c r="D93" s="13">
        <f>'Paste here'!Z93</f>
        <v>0</v>
      </c>
      <c r="E93" s="13" t="s">
        <v>47</v>
      </c>
      <c r="F93" s="13">
        <f>'Paste here'!E93</f>
        <v>0</v>
      </c>
      <c r="G93" s="13">
        <f>'Paste here'!F93</f>
        <v>0</v>
      </c>
      <c r="H93" s="13">
        <f>'Paste here'!G93</f>
        <v>0</v>
      </c>
      <c r="I93" s="13">
        <f>'Paste here'!N93</f>
        <v>0</v>
      </c>
      <c r="J93" s="13" t="e">
        <f>IF(I93*VLOOKUP(H93,'Claim Amount'!$B$3:$J$24,4,FALSE)&lt;VLOOKUP(H93,'Claim Amount'!$B$3:$J$24,5,FALSE),VLOOKUP(H93,'Claim Amount'!$B$3:$J$24,5,FALSE),I93*VLOOKUP(H93,'Claim Amount'!$B$3:$J$24,4,FALSE))</f>
        <v>#N/A</v>
      </c>
      <c r="K93" s="13" t="e">
        <f>VLOOKUP(F93,'Claim Amount'!$B$3:$J$13,4,FALSE)</f>
        <v>#N/A</v>
      </c>
      <c r="L93" s="13" t="e">
        <f t="shared" si="1"/>
        <v>#N/A</v>
      </c>
      <c r="M93" s="61" t="e" cm="1">
        <f t="array" ref="M93">[1]!SPELLNUMBER(L93)</f>
        <v>#VALUE!</v>
      </c>
    </row>
    <row r="94" spans="1:13" s="1" customFormat="1" ht="18.600000000000001" customHeight="1" x14ac:dyDescent="0.25">
      <c r="A94" s="1" t="s">
        <v>236</v>
      </c>
      <c r="B94" s="13" t="s">
        <v>122</v>
      </c>
      <c r="C94" s="13">
        <f>'Paste here'!Y94</f>
        <v>0</v>
      </c>
      <c r="D94" s="13">
        <f>'Paste here'!Z94</f>
        <v>0</v>
      </c>
      <c r="E94" s="13" t="s">
        <v>47</v>
      </c>
      <c r="F94" s="13">
        <f>'Paste here'!E94</f>
        <v>0</v>
      </c>
      <c r="G94" s="13">
        <f>'Paste here'!F94</f>
        <v>0</v>
      </c>
      <c r="H94" s="13">
        <f>'Paste here'!G94</f>
        <v>0</v>
      </c>
      <c r="I94" s="13">
        <f>'Paste here'!N94</f>
        <v>0</v>
      </c>
      <c r="J94" s="13" t="e">
        <f>IF(I94*VLOOKUP(H94,'Claim Amount'!$B$3:$J$24,4,FALSE)&lt;VLOOKUP(H94,'Claim Amount'!$B$3:$J$24,5,FALSE),VLOOKUP(H94,'Claim Amount'!$B$3:$J$24,5,FALSE),I94*VLOOKUP(H94,'Claim Amount'!$B$3:$J$24,4,FALSE))</f>
        <v>#N/A</v>
      </c>
      <c r="K94" s="13" t="e">
        <f>VLOOKUP(F94,'Claim Amount'!$B$3:$J$13,4,FALSE)</f>
        <v>#N/A</v>
      </c>
      <c r="L94" s="13" t="e">
        <f t="shared" si="1"/>
        <v>#N/A</v>
      </c>
      <c r="M94" s="61" t="e" cm="1">
        <f t="array" ref="M94">[1]!SPELLNUMBER(L94)</f>
        <v>#VALUE!</v>
      </c>
    </row>
    <row r="95" spans="1:13" s="1" customFormat="1" ht="18.600000000000001" customHeight="1" x14ac:dyDescent="0.25">
      <c r="A95" s="1" t="s">
        <v>237</v>
      </c>
      <c r="B95" s="13" t="s">
        <v>122</v>
      </c>
      <c r="C95" s="13">
        <f>'Paste here'!Y95</f>
        <v>0</v>
      </c>
      <c r="D95" s="13">
        <f>'Paste here'!Z95</f>
        <v>0</v>
      </c>
      <c r="E95" s="13" t="s">
        <v>47</v>
      </c>
      <c r="F95" s="13">
        <f>'Paste here'!E95</f>
        <v>0</v>
      </c>
      <c r="G95" s="13">
        <f>'Paste here'!F95</f>
        <v>0</v>
      </c>
      <c r="H95" s="13">
        <f>'Paste here'!G95</f>
        <v>0</v>
      </c>
      <c r="I95" s="13">
        <f>'Paste here'!N95</f>
        <v>0</v>
      </c>
      <c r="J95" s="13" t="e">
        <f>IF(I95*VLOOKUP(H95,'Claim Amount'!$B$3:$J$24,4,FALSE)&lt;VLOOKUP(H95,'Claim Amount'!$B$3:$J$24,5,FALSE),VLOOKUP(H95,'Claim Amount'!$B$3:$J$24,5,FALSE),I95*VLOOKUP(H95,'Claim Amount'!$B$3:$J$24,4,FALSE))</f>
        <v>#N/A</v>
      </c>
      <c r="K95" s="13" t="e">
        <f>VLOOKUP(F95,'Claim Amount'!$B$3:$J$13,4,FALSE)</f>
        <v>#N/A</v>
      </c>
      <c r="L95" s="13" t="e">
        <f t="shared" si="1"/>
        <v>#N/A</v>
      </c>
      <c r="M95" s="61" t="e" cm="1">
        <f t="array" ref="M95">[1]!SPELLNUMBER(L95)</f>
        <v>#VALUE!</v>
      </c>
    </row>
    <row r="96" spans="1:13" s="1" customFormat="1" ht="18.600000000000001" customHeight="1" x14ac:dyDescent="0.25">
      <c r="A96" s="1" t="s">
        <v>238</v>
      </c>
      <c r="B96" s="13" t="s">
        <v>122</v>
      </c>
      <c r="C96" s="13">
        <f>'Paste here'!Y96</f>
        <v>0</v>
      </c>
      <c r="D96" s="13">
        <f>'Paste here'!Z96</f>
        <v>0</v>
      </c>
      <c r="E96" s="13" t="s">
        <v>47</v>
      </c>
      <c r="F96" s="13">
        <f>'Paste here'!E96</f>
        <v>0</v>
      </c>
      <c r="G96" s="13">
        <f>'Paste here'!F96</f>
        <v>0</v>
      </c>
      <c r="H96" s="13">
        <f>'Paste here'!G96</f>
        <v>0</v>
      </c>
      <c r="I96" s="13">
        <f>'Paste here'!N96</f>
        <v>0</v>
      </c>
      <c r="J96" s="13" t="e">
        <f>IF(I96*VLOOKUP(H96,'Claim Amount'!$B$3:$J$24,4,FALSE)&lt;VLOOKUP(H96,'Claim Amount'!$B$3:$J$24,5,FALSE),VLOOKUP(H96,'Claim Amount'!$B$3:$J$24,5,FALSE),I96*VLOOKUP(H96,'Claim Amount'!$B$3:$J$24,4,FALSE))</f>
        <v>#N/A</v>
      </c>
      <c r="K96" s="13" t="e">
        <f>VLOOKUP(F96,'Claim Amount'!$B$3:$J$13,4,FALSE)</f>
        <v>#N/A</v>
      </c>
      <c r="L96" s="13" t="e">
        <f t="shared" si="1"/>
        <v>#N/A</v>
      </c>
      <c r="M96" s="61" t="e" cm="1">
        <f t="array" ref="M96">[1]!SPELLNUMBER(L96)</f>
        <v>#VALUE!</v>
      </c>
    </row>
    <row r="97" spans="1:13" s="1" customFormat="1" ht="18.600000000000001" customHeight="1" x14ac:dyDescent="0.25">
      <c r="A97" s="1" t="s">
        <v>239</v>
      </c>
      <c r="B97" s="13" t="s">
        <v>122</v>
      </c>
      <c r="C97" s="13">
        <f>'Paste here'!Y97</f>
        <v>0</v>
      </c>
      <c r="D97" s="13">
        <f>'Paste here'!Z97</f>
        <v>0</v>
      </c>
      <c r="E97" s="13" t="s">
        <v>47</v>
      </c>
      <c r="F97" s="13">
        <f>'Paste here'!E97</f>
        <v>0</v>
      </c>
      <c r="G97" s="13">
        <f>'Paste here'!F97</f>
        <v>0</v>
      </c>
      <c r="H97" s="13">
        <f>'Paste here'!G97</f>
        <v>0</v>
      </c>
      <c r="I97" s="13">
        <f>'Paste here'!N97</f>
        <v>0</v>
      </c>
      <c r="J97" s="13" t="e">
        <f>IF(I97*VLOOKUP(H97,'Claim Amount'!$B$3:$J$24,4,FALSE)&lt;VLOOKUP(H97,'Claim Amount'!$B$3:$J$24,5,FALSE),VLOOKUP(H97,'Claim Amount'!$B$3:$J$24,5,FALSE),I97*VLOOKUP(H97,'Claim Amount'!$B$3:$J$24,4,FALSE))</f>
        <v>#N/A</v>
      </c>
      <c r="K97" s="13" t="e">
        <f>VLOOKUP(F97,'Claim Amount'!$B$3:$J$13,4,FALSE)</f>
        <v>#N/A</v>
      </c>
      <c r="L97" s="13" t="e">
        <f t="shared" si="1"/>
        <v>#N/A</v>
      </c>
      <c r="M97" s="61" t="e" cm="1">
        <f t="array" ref="M97">[1]!SPELLNUMBER(L97)</f>
        <v>#VALUE!</v>
      </c>
    </row>
    <row r="98" spans="1:13" s="1" customFormat="1" ht="18.600000000000001" customHeight="1" x14ac:dyDescent="0.25">
      <c r="A98" s="1" t="s">
        <v>240</v>
      </c>
      <c r="B98" s="13" t="s">
        <v>122</v>
      </c>
      <c r="C98" s="13">
        <f>'Paste here'!Y98</f>
        <v>0</v>
      </c>
      <c r="D98" s="13">
        <f>'Paste here'!Z98</f>
        <v>0</v>
      </c>
      <c r="E98" s="13" t="s">
        <v>47</v>
      </c>
      <c r="F98" s="13">
        <f>'Paste here'!E98</f>
        <v>0</v>
      </c>
      <c r="G98" s="13">
        <f>'Paste here'!F98</f>
        <v>0</v>
      </c>
      <c r="H98" s="13">
        <f>'Paste here'!G98</f>
        <v>0</v>
      </c>
      <c r="I98" s="13">
        <f>'Paste here'!N98</f>
        <v>0</v>
      </c>
      <c r="J98" s="13" t="e">
        <f>IF(I98*VLOOKUP(H98,'Claim Amount'!$B$3:$J$24,4,FALSE)&lt;VLOOKUP(H98,'Claim Amount'!$B$3:$J$24,5,FALSE),VLOOKUP(H98,'Claim Amount'!$B$3:$J$24,5,FALSE),I98*VLOOKUP(H98,'Claim Amount'!$B$3:$J$24,4,FALSE))</f>
        <v>#N/A</v>
      </c>
      <c r="K98" s="13" t="e">
        <f>VLOOKUP(F98,'Claim Amount'!$B$3:$J$13,4,FALSE)</f>
        <v>#N/A</v>
      </c>
      <c r="L98" s="13" t="e">
        <f t="shared" si="1"/>
        <v>#N/A</v>
      </c>
      <c r="M98" s="61" t="e" cm="1">
        <f t="array" ref="M98">[1]!SPELLNUMBER(L98)</f>
        <v>#VALUE!</v>
      </c>
    </row>
    <row r="99" spans="1:13" s="1" customFormat="1" ht="18.600000000000001" customHeight="1" x14ac:dyDescent="0.25">
      <c r="A99" s="1" t="s">
        <v>241</v>
      </c>
      <c r="B99" s="13" t="s">
        <v>122</v>
      </c>
      <c r="C99" s="13">
        <f>'Paste here'!Y99</f>
        <v>0</v>
      </c>
      <c r="D99" s="13">
        <f>'Paste here'!Z99</f>
        <v>0</v>
      </c>
      <c r="E99" s="13" t="s">
        <v>47</v>
      </c>
      <c r="F99" s="13">
        <f>'Paste here'!E99</f>
        <v>0</v>
      </c>
      <c r="G99" s="13">
        <f>'Paste here'!F99</f>
        <v>0</v>
      </c>
      <c r="H99" s="13">
        <f>'Paste here'!G99</f>
        <v>0</v>
      </c>
      <c r="I99" s="13">
        <f>'Paste here'!N99</f>
        <v>0</v>
      </c>
      <c r="J99" s="13" t="e">
        <f>IF(I99*VLOOKUP(H99,'Claim Amount'!$B$3:$J$24,4,FALSE)&lt;VLOOKUP(H99,'Claim Amount'!$B$3:$J$24,5,FALSE),VLOOKUP(H99,'Claim Amount'!$B$3:$J$24,5,FALSE),I99*VLOOKUP(H99,'Claim Amount'!$B$3:$J$24,4,FALSE))</f>
        <v>#N/A</v>
      </c>
      <c r="K99" s="13" t="e">
        <f>VLOOKUP(F99,'Claim Amount'!$B$3:$J$13,4,FALSE)</f>
        <v>#N/A</v>
      </c>
      <c r="L99" s="13" t="e">
        <f t="shared" si="1"/>
        <v>#N/A</v>
      </c>
      <c r="M99" s="61" t="e" cm="1">
        <f t="array" ref="M99">[1]!SPELLNUMBER(L99)</f>
        <v>#VALUE!</v>
      </c>
    </row>
    <row r="100" spans="1:13" s="1" customFormat="1" ht="18.600000000000001" customHeight="1" x14ac:dyDescent="0.25">
      <c r="A100" s="1" t="s">
        <v>242</v>
      </c>
      <c r="B100" s="13" t="s">
        <v>122</v>
      </c>
      <c r="C100" s="13">
        <f>'Paste here'!Y100</f>
        <v>0</v>
      </c>
      <c r="D100" s="13">
        <f>'Paste here'!Z100</f>
        <v>0</v>
      </c>
      <c r="E100" s="13" t="s">
        <v>47</v>
      </c>
      <c r="F100" s="13">
        <f>'Paste here'!E100</f>
        <v>0</v>
      </c>
      <c r="G100" s="13">
        <f>'Paste here'!F100</f>
        <v>0</v>
      </c>
      <c r="H100" s="13">
        <f>'Paste here'!G100</f>
        <v>0</v>
      </c>
      <c r="I100" s="13">
        <f>'Paste here'!N100</f>
        <v>0</v>
      </c>
      <c r="J100" s="13" t="e">
        <f>IF(I100*VLOOKUP(H100,'Claim Amount'!$B$3:$J$24,4,FALSE)&lt;VLOOKUP(H100,'Claim Amount'!$B$3:$J$24,5,FALSE),VLOOKUP(H100,'Claim Amount'!$B$3:$J$24,5,FALSE),I100*VLOOKUP(H100,'Claim Amount'!$B$3:$J$24,4,FALSE))</f>
        <v>#N/A</v>
      </c>
      <c r="K100" s="13" t="e">
        <f>VLOOKUP(F100,'Claim Amount'!$B$3:$J$13,4,FALSE)</f>
        <v>#N/A</v>
      </c>
      <c r="L100" s="13" t="e">
        <f t="shared" si="1"/>
        <v>#N/A</v>
      </c>
      <c r="M100" s="61" t="e" cm="1">
        <f t="array" ref="M100">[1]!SPELLNUMBER(L100)</f>
        <v>#VALUE!</v>
      </c>
    </row>
    <row r="101" spans="1:13" s="1" customFormat="1" ht="18.600000000000001" customHeight="1" x14ac:dyDescent="0.25">
      <c r="A101" s="1" t="s">
        <v>243</v>
      </c>
      <c r="B101" s="13" t="s">
        <v>122</v>
      </c>
      <c r="C101" s="13">
        <f>'Paste here'!Y101</f>
        <v>0</v>
      </c>
      <c r="D101" s="13">
        <f>'Paste here'!Z101</f>
        <v>0</v>
      </c>
      <c r="E101" s="13" t="s">
        <v>47</v>
      </c>
      <c r="F101" s="13">
        <f>'Paste here'!E101</f>
        <v>0</v>
      </c>
      <c r="G101" s="13">
        <f>'Paste here'!F101</f>
        <v>0</v>
      </c>
      <c r="H101" s="13">
        <f>'Paste here'!G101</f>
        <v>0</v>
      </c>
      <c r="I101" s="13">
        <f>'Paste here'!N101</f>
        <v>0</v>
      </c>
      <c r="J101" s="13" t="e">
        <f>IF(I101*VLOOKUP(H101,'Claim Amount'!$B$3:$J$24,4,FALSE)&lt;VLOOKUP(H101,'Claim Amount'!$B$3:$J$24,5,FALSE),VLOOKUP(H101,'Claim Amount'!$B$3:$J$24,5,FALSE),I101*VLOOKUP(H101,'Claim Amount'!$B$3:$J$24,4,FALSE))</f>
        <v>#N/A</v>
      </c>
      <c r="K101" s="13" t="e">
        <f>VLOOKUP(F101,'Claim Amount'!$B$3:$J$13,4,FALSE)</f>
        <v>#N/A</v>
      </c>
      <c r="L101" s="13" t="e">
        <f t="shared" si="1"/>
        <v>#N/A</v>
      </c>
      <c r="M101" s="61" t="e" cm="1">
        <f t="array" ref="M101">[1]!SPELLNUMBER(L101)</f>
        <v>#VALUE!</v>
      </c>
    </row>
    <row r="102" spans="1:13" s="1" customFormat="1" ht="18.600000000000001" customHeight="1" x14ac:dyDescent="0.25">
      <c r="A102" s="1" t="s">
        <v>244</v>
      </c>
      <c r="B102" s="13" t="s">
        <v>122</v>
      </c>
      <c r="C102" s="13">
        <f>'Paste here'!Y102</f>
        <v>0</v>
      </c>
      <c r="D102" s="13">
        <f>'Paste here'!Z102</f>
        <v>0</v>
      </c>
      <c r="E102" s="13" t="s">
        <v>47</v>
      </c>
      <c r="F102" s="13">
        <f>'Paste here'!E102</f>
        <v>0</v>
      </c>
      <c r="G102" s="13">
        <f>'Paste here'!F102</f>
        <v>0</v>
      </c>
      <c r="H102" s="13">
        <f>'Paste here'!G102</f>
        <v>0</v>
      </c>
      <c r="I102" s="13">
        <f>'Paste here'!N102</f>
        <v>0</v>
      </c>
      <c r="J102" s="13" t="e">
        <f>IF(I102*VLOOKUP(H102,'Claim Amount'!$B$3:$J$24,4,FALSE)&lt;VLOOKUP(H102,'Claim Amount'!$B$3:$J$24,5,FALSE),VLOOKUP(H102,'Claim Amount'!$B$3:$J$24,5,FALSE),I102*VLOOKUP(H102,'Claim Amount'!$B$3:$J$24,4,FALSE))</f>
        <v>#N/A</v>
      </c>
      <c r="K102" s="13" t="e">
        <f>VLOOKUP(F102,'Claim Amount'!$B$3:$J$13,4,FALSE)</f>
        <v>#N/A</v>
      </c>
      <c r="L102" s="13" t="e">
        <f t="shared" si="1"/>
        <v>#N/A</v>
      </c>
      <c r="M102" s="61" t="e" cm="1">
        <f t="array" ref="M102">[1]!SPELLNUMBER(L102)</f>
        <v>#VALUE!</v>
      </c>
    </row>
    <row r="103" spans="1:13" s="1" customFormat="1" ht="18.600000000000001" customHeight="1" x14ac:dyDescent="0.25">
      <c r="A103" s="1" t="s">
        <v>245</v>
      </c>
      <c r="B103" s="13" t="s">
        <v>122</v>
      </c>
      <c r="C103" s="13">
        <f>'Paste here'!Y103</f>
        <v>0</v>
      </c>
      <c r="D103" s="13">
        <f>'Paste here'!Z103</f>
        <v>0</v>
      </c>
      <c r="E103" s="13" t="s">
        <v>47</v>
      </c>
      <c r="F103" s="13">
        <f>'Paste here'!E103</f>
        <v>0</v>
      </c>
      <c r="G103" s="13">
        <f>'Paste here'!F103</f>
        <v>0</v>
      </c>
      <c r="H103" s="13">
        <f>'Paste here'!G103</f>
        <v>0</v>
      </c>
      <c r="I103" s="13">
        <f>'Paste here'!N103</f>
        <v>0</v>
      </c>
      <c r="J103" s="13" t="e">
        <f>IF(I103*VLOOKUP(H103,'Claim Amount'!$B$3:$J$24,4,FALSE)&lt;VLOOKUP(H103,'Claim Amount'!$B$3:$J$24,5,FALSE),VLOOKUP(H103,'Claim Amount'!$B$3:$J$24,5,FALSE),I103*VLOOKUP(H103,'Claim Amount'!$B$3:$J$24,4,FALSE))</f>
        <v>#N/A</v>
      </c>
      <c r="K103" s="13" t="e">
        <f>VLOOKUP(F103,'Claim Amount'!$B$3:$J$13,4,FALSE)</f>
        <v>#N/A</v>
      </c>
      <c r="L103" s="13" t="e">
        <f t="shared" si="1"/>
        <v>#N/A</v>
      </c>
      <c r="M103" s="61" t="e" cm="1">
        <f t="array" ref="M103">[1]!SPELLNUMBER(L103)</f>
        <v>#VALUE!</v>
      </c>
    </row>
    <row r="104" spans="1:13" s="1" customFormat="1" ht="18.600000000000001" customHeight="1" x14ac:dyDescent="0.25">
      <c r="A104" s="1" t="s">
        <v>246</v>
      </c>
      <c r="B104" s="13" t="s">
        <v>122</v>
      </c>
      <c r="C104" s="13">
        <f>'Paste here'!Y104</f>
        <v>0</v>
      </c>
      <c r="D104" s="13">
        <f>'Paste here'!Z104</f>
        <v>0</v>
      </c>
      <c r="E104" s="13" t="s">
        <v>47</v>
      </c>
      <c r="F104" s="13">
        <f>'Paste here'!E104</f>
        <v>0</v>
      </c>
      <c r="G104" s="13">
        <f>'Paste here'!F104</f>
        <v>0</v>
      </c>
      <c r="H104" s="13">
        <f>'Paste here'!G104</f>
        <v>0</v>
      </c>
      <c r="I104" s="13">
        <f>'Paste here'!N104</f>
        <v>0</v>
      </c>
      <c r="J104" s="13" t="e">
        <f>IF(I104*VLOOKUP(H104,'Claim Amount'!$B$3:$J$24,4,FALSE)&lt;VLOOKUP(H104,'Claim Amount'!$B$3:$J$24,5,FALSE),VLOOKUP(H104,'Claim Amount'!$B$3:$J$24,5,FALSE),I104*VLOOKUP(H104,'Claim Amount'!$B$3:$J$24,4,FALSE))</f>
        <v>#N/A</v>
      </c>
      <c r="K104" s="13" t="e">
        <f>VLOOKUP(F104,'Claim Amount'!$B$3:$J$13,4,FALSE)</f>
        <v>#N/A</v>
      </c>
      <c r="L104" s="13" t="e">
        <f t="shared" si="1"/>
        <v>#N/A</v>
      </c>
      <c r="M104" s="61" t="e" cm="1">
        <f t="array" ref="M104">[1]!SPELLNUMBER(L104)</f>
        <v>#VALUE!</v>
      </c>
    </row>
    <row r="105" spans="1:13" s="1" customFormat="1" ht="18.600000000000001" customHeight="1" x14ac:dyDescent="0.25">
      <c r="A105" s="1" t="s">
        <v>247</v>
      </c>
      <c r="B105" s="13" t="s">
        <v>122</v>
      </c>
      <c r="C105" s="13">
        <f>'Paste here'!Y105</f>
        <v>0</v>
      </c>
      <c r="D105" s="13">
        <f>'Paste here'!Z105</f>
        <v>0</v>
      </c>
      <c r="E105" s="13" t="s">
        <v>47</v>
      </c>
      <c r="F105" s="13">
        <f>'Paste here'!E105</f>
        <v>0</v>
      </c>
      <c r="G105" s="13">
        <f>'Paste here'!F105</f>
        <v>0</v>
      </c>
      <c r="H105" s="13">
        <f>'Paste here'!G105</f>
        <v>0</v>
      </c>
      <c r="I105" s="13">
        <f>'Paste here'!N105</f>
        <v>0</v>
      </c>
      <c r="J105" s="13" t="e">
        <f>IF(I105*VLOOKUP(H105,'Claim Amount'!$B$3:$J$24,4,FALSE)&lt;VLOOKUP(H105,'Claim Amount'!$B$3:$J$24,5,FALSE),VLOOKUP(H105,'Claim Amount'!$B$3:$J$24,5,FALSE),I105*VLOOKUP(H105,'Claim Amount'!$B$3:$J$24,4,FALSE))</f>
        <v>#N/A</v>
      </c>
      <c r="K105" s="13" t="e">
        <f>VLOOKUP(F105,'Claim Amount'!$B$3:$J$13,4,FALSE)</f>
        <v>#N/A</v>
      </c>
      <c r="L105" s="13" t="e">
        <f t="shared" si="1"/>
        <v>#N/A</v>
      </c>
      <c r="M105" s="61" t="e" cm="1">
        <f t="array" ref="M105">[1]!SPELLNUMBER(L105)</f>
        <v>#VALUE!</v>
      </c>
    </row>
    <row r="106" spans="1:13" s="1" customFormat="1" ht="18.600000000000001" customHeight="1" x14ac:dyDescent="0.25">
      <c r="A106" s="1" t="s">
        <v>248</v>
      </c>
      <c r="B106" s="13" t="s">
        <v>122</v>
      </c>
      <c r="C106" s="13">
        <f>'Paste here'!Y106</f>
        <v>0</v>
      </c>
      <c r="D106" s="13">
        <f>'Paste here'!Z106</f>
        <v>0</v>
      </c>
      <c r="E106" s="13" t="s">
        <v>47</v>
      </c>
      <c r="F106" s="13">
        <f>'Paste here'!E106</f>
        <v>0</v>
      </c>
      <c r="G106" s="13">
        <f>'Paste here'!F106</f>
        <v>0</v>
      </c>
      <c r="H106" s="13">
        <f>'Paste here'!G106</f>
        <v>0</v>
      </c>
      <c r="I106" s="13">
        <f>'Paste here'!N106</f>
        <v>0</v>
      </c>
      <c r="J106" s="13" t="e">
        <f>IF(I106*VLOOKUP(H106,'Claim Amount'!$B$3:$J$24,4,FALSE)&lt;VLOOKUP(H106,'Claim Amount'!$B$3:$J$24,5,FALSE),VLOOKUP(H106,'Claim Amount'!$B$3:$J$24,5,FALSE),I106*VLOOKUP(H106,'Claim Amount'!$B$3:$J$24,4,FALSE))</f>
        <v>#N/A</v>
      </c>
      <c r="K106" s="13" t="e">
        <f>VLOOKUP(F106,'Claim Amount'!$B$3:$J$13,4,FALSE)</f>
        <v>#N/A</v>
      </c>
      <c r="L106" s="13" t="e">
        <f t="shared" si="1"/>
        <v>#N/A</v>
      </c>
      <c r="M106" s="61" t="e" cm="1">
        <f t="array" ref="M106">[1]!SPELLNUMBER(L106)</f>
        <v>#VALUE!</v>
      </c>
    </row>
    <row r="107" spans="1:13" s="1" customFormat="1" ht="18.600000000000001" customHeight="1" x14ac:dyDescent="0.25">
      <c r="A107" s="1" t="s">
        <v>249</v>
      </c>
      <c r="B107" s="13" t="s">
        <v>122</v>
      </c>
      <c r="C107" s="13">
        <f>'Paste here'!Y107</f>
        <v>0</v>
      </c>
      <c r="D107" s="13">
        <f>'Paste here'!Z107</f>
        <v>0</v>
      </c>
      <c r="E107" s="13" t="s">
        <v>47</v>
      </c>
      <c r="F107" s="13">
        <f>'Paste here'!E107</f>
        <v>0</v>
      </c>
      <c r="G107" s="13">
        <f>'Paste here'!F107</f>
        <v>0</v>
      </c>
      <c r="H107" s="13">
        <f>'Paste here'!G107</f>
        <v>0</v>
      </c>
      <c r="I107" s="13">
        <f>'Paste here'!N107</f>
        <v>0</v>
      </c>
      <c r="J107" s="13" t="e">
        <f>IF(I107*VLOOKUP(H107,'Claim Amount'!$B$3:$J$24,4,FALSE)&lt;VLOOKUP(H107,'Claim Amount'!$B$3:$J$24,5,FALSE),VLOOKUP(H107,'Claim Amount'!$B$3:$J$24,5,FALSE),I107*VLOOKUP(H107,'Claim Amount'!$B$3:$J$24,4,FALSE))</f>
        <v>#N/A</v>
      </c>
      <c r="K107" s="13" t="e">
        <f>VLOOKUP(F107,'Claim Amount'!$B$3:$J$13,4,FALSE)</f>
        <v>#N/A</v>
      </c>
      <c r="L107" s="13" t="e">
        <f t="shared" si="1"/>
        <v>#N/A</v>
      </c>
      <c r="M107" s="61" t="e" cm="1">
        <f t="array" ref="M107">[1]!SPELLNUMBER(L107)</f>
        <v>#VALUE!</v>
      </c>
    </row>
    <row r="108" spans="1:13" s="1" customFormat="1" ht="18.600000000000001" customHeight="1" x14ac:dyDescent="0.25">
      <c r="A108" s="1" t="s">
        <v>250</v>
      </c>
      <c r="B108" s="13" t="s">
        <v>122</v>
      </c>
      <c r="C108" s="13">
        <f>'Paste here'!Y108</f>
        <v>0</v>
      </c>
      <c r="D108" s="13">
        <f>'Paste here'!Z108</f>
        <v>0</v>
      </c>
      <c r="E108" s="13" t="s">
        <v>47</v>
      </c>
      <c r="F108" s="13">
        <f>'Paste here'!E108</f>
        <v>0</v>
      </c>
      <c r="G108" s="13">
        <f>'Paste here'!F108</f>
        <v>0</v>
      </c>
      <c r="H108" s="13">
        <f>'Paste here'!G108</f>
        <v>0</v>
      </c>
      <c r="I108" s="13">
        <f>'Paste here'!N108</f>
        <v>0</v>
      </c>
      <c r="J108" s="13" t="e">
        <f>IF(I108*VLOOKUP(H108,'Claim Amount'!$B$3:$J$24,4,FALSE)&lt;VLOOKUP(H108,'Claim Amount'!$B$3:$J$24,5,FALSE),VLOOKUP(H108,'Claim Amount'!$B$3:$J$24,5,FALSE),I108*VLOOKUP(H108,'Claim Amount'!$B$3:$J$24,4,FALSE))</f>
        <v>#N/A</v>
      </c>
      <c r="K108" s="13" t="e">
        <f>VLOOKUP(F108,'Claim Amount'!$B$3:$J$13,4,FALSE)</f>
        <v>#N/A</v>
      </c>
      <c r="L108" s="13" t="e">
        <f t="shared" si="1"/>
        <v>#N/A</v>
      </c>
      <c r="M108" s="61" t="e" cm="1">
        <f t="array" ref="M108">[1]!SPELLNUMBER(L108)</f>
        <v>#VALUE!</v>
      </c>
    </row>
    <row r="109" spans="1:13" s="1" customFormat="1" ht="18.600000000000001" customHeight="1" x14ac:dyDescent="0.25">
      <c r="A109" s="1" t="s">
        <v>251</v>
      </c>
      <c r="B109" s="13" t="s">
        <v>122</v>
      </c>
      <c r="C109" s="13">
        <f>'Paste here'!Y109</f>
        <v>0</v>
      </c>
      <c r="D109" s="13">
        <f>'Paste here'!Z109</f>
        <v>0</v>
      </c>
      <c r="E109" s="13" t="s">
        <v>47</v>
      </c>
      <c r="F109" s="13">
        <f>'Paste here'!E109</f>
        <v>0</v>
      </c>
      <c r="G109" s="13">
        <f>'Paste here'!F109</f>
        <v>0</v>
      </c>
      <c r="H109" s="13">
        <f>'Paste here'!G109</f>
        <v>0</v>
      </c>
      <c r="I109" s="13">
        <f>'Paste here'!N109</f>
        <v>0</v>
      </c>
      <c r="J109" s="13" t="e">
        <f>IF(I109*VLOOKUP(H109,'Claim Amount'!$B$3:$J$24,4,FALSE)&lt;VLOOKUP(H109,'Claim Amount'!$B$3:$J$24,5,FALSE),VLOOKUP(H109,'Claim Amount'!$B$3:$J$24,5,FALSE),I109*VLOOKUP(H109,'Claim Amount'!$B$3:$J$24,4,FALSE))</f>
        <v>#N/A</v>
      </c>
      <c r="K109" s="13" t="e">
        <f>VLOOKUP(F109,'Claim Amount'!$B$3:$J$13,4,FALSE)</f>
        <v>#N/A</v>
      </c>
      <c r="L109" s="13" t="e">
        <f t="shared" si="1"/>
        <v>#N/A</v>
      </c>
      <c r="M109" s="61" t="e" cm="1">
        <f t="array" ref="M109">[1]!SPELLNUMBER(L109)</f>
        <v>#VALUE!</v>
      </c>
    </row>
    <row r="110" spans="1:13" s="1" customFormat="1" ht="18.600000000000001" customHeight="1" x14ac:dyDescent="0.25">
      <c r="A110" s="1" t="s">
        <v>252</v>
      </c>
      <c r="B110" s="13" t="s">
        <v>122</v>
      </c>
      <c r="C110" s="13">
        <f>'Paste here'!Y110</f>
        <v>0</v>
      </c>
      <c r="D110" s="13">
        <f>'Paste here'!Z110</f>
        <v>0</v>
      </c>
      <c r="E110" s="13" t="s">
        <v>47</v>
      </c>
      <c r="F110" s="13">
        <f>'Paste here'!E110</f>
        <v>0</v>
      </c>
      <c r="G110" s="13">
        <f>'Paste here'!F110</f>
        <v>0</v>
      </c>
      <c r="H110" s="13">
        <f>'Paste here'!G110</f>
        <v>0</v>
      </c>
      <c r="I110" s="13">
        <f>'Paste here'!N110</f>
        <v>0</v>
      </c>
      <c r="J110" s="13" t="e">
        <f>IF(I110*VLOOKUP(H110,'Claim Amount'!$B$3:$J$24,4,FALSE)&lt;VLOOKUP(H110,'Claim Amount'!$B$3:$J$24,5,FALSE),VLOOKUP(H110,'Claim Amount'!$B$3:$J$24,5,FALSE),I110*VLOOKUP(H110,'Claim Amount'!$B$3:$J$24,4,FALSE))</f>
        <v>#N/A</v>
      </c>
      <c r="K110" s="13" t="e">
        <f>VLOOKUP(F110,'Claim Amount'!$B$3:$J$13,4,FALSE)</f>
        <v>#N/A</v>
      </c>
      <c r="L110" s="13" t="e">
        <f t="shared" si="1"/>
        <v>#N/A</v>
      </c>
      <c r="M110" s="61" t="e" cm="1">
        <f t="array" ref="M110">[1]!SPELLNUMBER(L110)</f>
        <v>#VALUE!</v>
      </c>
    </row>
    <row r="111" spans="1:13" s="1" customFormat="1" ht="18.600000000000001" customHeight="1" x14ac:dyDescent="0.25">
      <c r="A111" s="1" t="s">
        <v>253</v>
      </c>
      <c r="B111" s="13" t="s">
        <v>122</v>
      </c>
      <c r="C111" s="13">
        <f>'Paste here'!Y111</f>
        <v>0</v>
      </c>
      <c r="D111" s="13">
        <f>'Paste here'!Z111</f>
        <v>0</v>
      </c>
      <c r="E111" s="13" t="s">
        <v>47</v>
      </c>
      <c r="F111" s="13">
        <f>'Paste here'!E111</f>
        <v>0</v>
      </c>
      <c r="G111" s="13">
        <f>'Paste here'!F111</f>
        <v>0</v>
      </c>
      <c r="H111" s="13">
        <f>'Paste here'!G111</f>
        <v>0</v>
      </c>
      <c r="I111" s="13">
        <f>'Paste here'!N111</f>
        <v>0</v>
      </c>
      <c r="J111" s="13" t="e">
        <f>IF(I111*VLOOKUP(H111,'Claim Amount'!$B$3:$J$24,4,FALSE)&lt;VLOOKUP(H111,'Claim Amount'!$B$3:$J$24,5,FALSE),VLOOKUP(H111,'Claim Amount'!$B$3:$J$24,5,FALSE),I111*VLOOKUP(H111,'Claim Amount'!$B$3:$J$24,4,FALSE))</f>
        <v>#N/A</v>
      </c>
      <c r="K111" s="13" t="e">
        <f>VLOOKUP(F111,'Claim Amount'!$B$3:$J$13,4,FALSE)</f>
        <v>#N/A</v>
      </c>
      <c r="L111" s="13" t="e">
        <f t="shared" si="1"/>
        <v>#N/A</v>
      </c>
      <c r="M111" s="61" t="e" cm="1">
        <f t="array" ref="M111">[1]!SPELLNUMBER(L111)</f>
        <v>#VALUE!</v>
      </c>
    </row>
    <row r="112" spans="1:13" s="1" customFormat="1" ht="18.600000000000001" customHeight="1" x14ac:dyDescent="0.25">
      <c r="A112" s="1" t="s">
        <v>254</v>
      </c>
      <c r="B112" s="13" t="s">
        <v>122</v>
      </c>
      <c r="C112" s="13">
        <f>'Paste here'!Y112</f>
        <v>0</v>
      </c>
      <c r="D112" s="13">
        <f>'Paste here'!Z112</f>
        <v>0</v>
      </c>
      <c r="E112" s="13" t="s">
        <v>47</v>
      </c>
      <c r="F112" s="13">
        <f>'Paste here'!E112</f>
        <v>0</v>
      </c>
      <c r="G112" s="13">
        <f>'Paste here'!F112</f>
        <v>0</v>
      </c>
      <c r="H112" s="13">
        <f>'Paste here'!G112</f>
        <v>0</v>
      </c>
      <c r="I112" s="13">
        <f>'Paste here'!N112</f>
        <v>0</v>
      </c>
      <c r="J112" s="13" t="e">
        <f>IF(I112*VLOOKUP(H112,'Claim Amount'!$B$3:$J$24,4,FALSE)&lt;VLOOKUP(H112,'Claim Amount'!$B$3:$J$24,5,FALSE),VLOOKUP(H112,'Claim Amount'!$B$3:$J$24,5,FALSE),I112*VLOOKUP(H112,'Claim Amount'!$B$3:$J$24,4,FALSE))</f>
        <v>#N/A</v>
      </c>
      <c r="K112" s="13" t="e">
        <f>VLOOKUP(F112,'Claim Amount'!$B$3:$J$13,4,FALSE)</f>
        <v>#N/A</v>
      </c>
      <c r="L112" s="13" t="e">
        <f t="shared" si="1"/>
        <v>#N/A</v>
      </c>
      <c r="M112" s="61" t="e" cm="1">
        <f t="array" ref="M112">[1]!SPELLNUMBER(L112)</f>
        <v>#VALUE!</v>
      </c>
    </row>
    <row r="113" spans="1:13" s="1" customFormat="1" ht="18.600000000000001" customHeight="1" x14ac:dyDescent="0.25">
      <c r="A113" s="1" t="s">
        <v>255</v>
      </c>
      <c r="B113" s="13" t="s">
        <v>122</v>
      </c>
      <c r="C113" s="13">
        <f>'Paste here'!Y113</f>
        <v>0</v>
      </c>
      <c r="D113" s="13">
        <f>'Paste here'!Z113</f>
        <v>0</v>
      </c>
      <c r="E113" s="13" t="s">
        <v>47</v>
      </c>
      <c r="F113" s="13">
        <f>'Paste here'!E113</f>
        <v>0</v>
      </c>
      <c r="G113" s="13">
        <f>'Paste here'!F113</f>
        <v>0</v>
      </c>
      <c r="H113" s="13">
        <f>'Paste here'!G113</f>
        <v>0</v>
      </c>
      <c r="I113" s="13">
        <f>'Paste here'!N113</f>
        <v>0</v>
      </c>
      <c r="J113" s="13" t="e">
        <f>IF(I113*VLOOKUP(H113,'Claim Amount'!$B$3:$J$24,4,FALSE)&lt;VLOOKUP(H113,'Claim Amount'!$B$3:$J$24,5,FALSE),VLOOKUP(H113,'Claim Amount'!$B$3:$J$24,5,FALSE),I113*VLOOKUP(H113,'Claim Amount'!$B$3:$J$24,4,FALSE))</f>
        <v>#N/A</v>
      </c>
      <c r="K113" s="13" t="e">
        <f>VLOOKUP(F113,'Claim Amount'!$B$3:$J$13,4,FALSE)</f>
        <v>#N/A</v>
      </c>
      <c r="L113" s="13" t="e">
        <f t="shared" si="1"/>
        <v>#N/A</v>
      </c>
      <c r="M113" s="61" t="e" cm="1">
        <f t="array" ref="M113">[1]!SPELLNUMBER(L113)</f>
        <v>#VALUE!</v>
      </c>
    </row>
    <row r="114" spans="1:13" s="1" customFormat="1" ht="18.600000000000001" customHeight="1" x14ac:dyDescent="0.25">
      <c r="A114" s="1" t="s">
        <v>256</v>
      </c>
      <c r="B114" s="13" t="s">
        <v>122</v>
      </c>
      <c r="C114" s="13">
        <f>'Paste here'!Y114</f>
        <v>0</v>
      </c>
      <c r="D114" s="13">
        <f>'Paste here'!Z114</f>
        <v>0</v>
      </c>
      <c r="E114" s="13" t="s">
        <v>47</v>
      </c>
      <c r="F114" s="13">
        <f>'Paste here'!E114</f>
        <v>0</v>
      </c>
      <c r="G114" s="13">
        <f>'Paste here'!F114</f>
        <v>0</v>
      </c>
      <c r="H114" s="13">
        <f>'Paste here'!G114</f>
        <v>0</v>
      </c>
      <c r="I114" s="13">
        <f>'Paste here'!N114</f>
        <v>0</v>
      </c>
      <c r="J114" s="13" t="e">
        <f>IF(I114*VLOOKUP(H114,'Claim Amount'!$B$3:$J$24,4,FALSE)&lt;VLOOKUP(H114,'Claim Amount'!$B$3:$J$24,5,FALSE),VLOOKUP(H114,'Claim Amount'!$B$3:$J$24,5,FALSE),I114*VLOOKUP(H114,'Claim Amount'!$B$3:$J$24,4,FALSE))</f>
        <v>#N/A</v>
      </c>
      <c r="K114" s="13" t="e">
        <f>VLOOKUP(F114,'Claim Amount'!$B$3:$J$13,4,FALSE)</f>
        <v>#N/A</v>
      </c>
      <c r="L114" s="13" t="e">
        <f t="shared" si="1"/>
        <v>#N/A</v>
      </c>
      <c r="M114" s="61" t="e" cm="1">
        <f t="array" ref="M114">[1]!SPELLNUMBER(L114)</f>
        <v>#VALUE!</v>
      </c>
    </row>
    <row r="115" spans="1:13" s="1" customFormat="1" ht="18.600000000000001" customHeight="1" x14ac:dyDescent="0.25">
      <c r="A115" s="1" t="s">
        <v>257</v>
      </c>
      <c r="B115" s="13" t="s">
        <v>122</v>
      </c>
      <c r="C115" s="13">
        <f>'Paste here'!Y115</f>
        <v>0</v>
      </c>
      <c r="D115" s="13">
        <f>'Paste here'!Z115</f>
        <v>0</v>
      </c>
      <c r="E115" s="13" t="s">
        <v>47</v>
      </c>
      <c r="F115" s="13">
        <f>'Paste here'!E115</f>
        <v>0</v>
      </c>
      <c r="G115" s="13">
        <f>'Paste here'!F115</f>
        <v>0</v>
      </c>
      <c r="H115" s="13">
        <f>'Paste here'!G115</f>
        <v>0</v>
      </c>
      <c r="I115" s="13">
        <f>'Paste here'!N115</f>
        <v>0</v>
      </c>
      <c r="J115" s="13" t="e">
        <f>IF(I115*VLOOKUP(H115,'Claim Amount'!$B$3:$J$24,4,FALSE)&lt;VLOOKUP(H115,'Claim Amount'!$B$3:$J$24,5,FALSE),VLOOKUP(H115,'Claim Amount'!$B$3:$J$24,5,FALSE),I115*VLOOKUP(H115,'Claim Amount'!$B$3:$J$24,4,FALSE))</f>
        <v>#N/A</v>
      </c>
      <c r="K115" s="13" t="e">
        <f>VLOOKUP(F115,'Claim Amount'!$B$3:$J$13,4,FALSE)</f>
        <v>#N/A</v>
      </c>
      <c r="L115" s="13" t="e">
        <f t="shared" si="1"/>
        <v>#N/A</v>
      </c>
      <c r="M115" s="61" t="e" cm="1">
        <f t="array" ref="M115">[1]!SPELLNUMBER(L115)</f>
        <v>#VALUE!</v>
      </c>
    </row>
    <row r="116" spans="1:13" s="1" customFormat="1" ht="18.600000000000001" customHeight="1" x14ac:dyDescent="0.25">
      <c r="A116" s="1" t="s">
        <v>258</v>
      </c>
      <c r="B116" s="13" t="s">
        <v>122</v>
      </c>
      <c r="C116" s="13">
        <f>'Paste here'!Y116</f>
        <v>0</v>
      </c>
      <c r="D116" s="13">
        <f>'Paste here'!Z116</f>
        <v>0</v>
      </c>
      <c r="E116" s="13" t="s">
        <v>47</v>
      </c>
      <c r="F116" s="13">
        <f>'Paste here'!E116</f>
        <v>0</v>
      </c>
      <c r="G116" s="13">
        <f>'Paste here'!F116</f>
        <v>0</v>
      </c>
      <c r="H116" s="13">
        <f>'Paste here'!G116</f>
        <v>0</v>
      </c>
      <c r="I116" s="13">
        <f>'Paste here'!N116</f>
        <v>0</v>
      </c>
      <c r="J116" s="13" t="e">
        <f>IF(I116*VLOOKUP(H116,'Claim Amount'!$B$3:$J$24,4,FALSE)&lt;VLOOKUP(H116,'Claim Amount'!$B$3:$J$24,5,FALSE),VLOOKUP(H116,'Claim Amount'!$B$3:$J$24,5,FALSE),I116*VLOOKUP(H116,'Claim Amount'!$B$3:$J$24,4,FALSE))</f>
        <v>#N/A</v>
      </c>
      <c r="K116" s="13" t="e">
        <f>VLOOKUP(F116,'Claim Amount'!$B$3:$J$13,4,FALSE)</f>
        <v>#N/A</v>
      </c>
      <c r="L116" s="13" t="e">
        <f t="shared" si="1"/>
        <v>#N/A</v>
      </c>
      <c r="M116" s="61" t="e" cm="1">
        <f t="array" ref="M116">[1]!SPELLNUMBER(L116)</f>
        <v>#VALUE!</v>
      </c>
    </row>
    <row r="117" spans="1:13" s="1" customFormat="1" ht="18.600000000000001" customHeight="1" x14ac:dyDescent="0.25">
      <c r="A117" s="1" t="s">
        <v>259</v>
      </c>
      <c r="B117" s="13" t="s">
        <v>122</v>
      </c>
      <c r="C117" s="13">
        <f>'Paste here'!Y117</f>
        <v>0</v>
      </c>
      <c r="D117" s="13">
        <f>'Paste here'!Z117</f>
        <v>0</v>
      </c>
      <c r="E117" s="13" t="s">
        <v>47</v>
      </c>
      <c r="F117" s="13">
        <f>'Paste here'!E117</f>
        <v>0</v>
      </c>
      <c r="G117" s="13">
        <f>'Paste here'!F117</f>
        <v>0</v>
      </c>
      <c r="H117" s="13">
        <f>'Paste here'!G117</f>
        <v>0</v>
      </c>
      <c r="I117" s="13">
        <f>'Paste here'!N117</f>
        <v>0</v>
      </c>
      <c r="J117" s="13" t="e">
        <f>IF(I117*VLOOKUP(H117,'Claim Amount'!$B$3:$J$24,4,FALSE)&lt;VLOOKUP(H117,'Claim Amount'!$B$3:$J$24,5,FALSE),VLOOKUP(H117,'Claim Amount'!$B$3:$J$24,5,FALSE),I117*VLOOKUP(H117,'Claim Amount'!$B$3:$J$24,4,FALSE))</f>
        <v>#N/A</v>
      </c>
      <c r="K117" s="13" t="e">
        <f>VLOOKUP(F117,'Claim Amount'!$B$3:$J$13,4,FALSE)</f>
        <v>#N/A</v>
      </c>
      <c r="L117" s="13" t="e">
        <f t="shared" si="1"/>
        <v>#N/A</v>
      </c>
      <c r="M117" s="61" t="e" cm="1">
        <f t="array" ref="M117">[1]!SPELLNUMBER(L117)</f>
        <v>#VALUE!</v>
      </c>
    </row>
    <row r="118" spans="1:13" s="1" customFormat="1" ht="18.600000000000001" customHeight="1" x14ac:dyDescent="0.25">
      <c r="A118" s="1" t="s">
        <v>260</v>
      </c>
      <c r="B118" s="13" t="s">
        <v>122</v>
      </c>
      <c r="C118" s="13">
        <f>'Paste here'!Y118</f>
        <v>0</v>
      </c>
      <c r="D118" s="13">
        <f>'Paste here'!Z118</f>
        <v>0</v>
      </c>
      <c r="E118" s="13" t="s">
        <v>47</v>
      </c>
      <c r="F118" s="13">
        <f>'Paste here'!E118</f>
        <v>0</v>
      </c>
      <c r="G118" s="13">
        <f>'Paste here'!F118</f>
        <v>0</v>
      </c>
      <c r="H118" s="13">
        <f>'Paste here'!G118</f>
        <v>0</v>
      </c>
      <c r="I118" s="13">
        <f>'Paste here'!N118</f>
        <v>0</v>
      </c>
      <c r="J118" s="13" t="e">
        <f>IF(I118*VLOOKUP(H118,'Claim Amount'!$B$3:$J$24,4,FALSE)&lt;VLOOKUP(H118,'Claim Amount'!$B$3:$J$24,5,FALSE),VLOOKUP(H118,'Claim Amount'!$B$3:$J$24,5,FALSE),I118*VLOOKUP(H118,'Claim Amount'!$B$3:$J$24,4,FALSE))</f>
        <v>#N/A</v>
      </c>
      <c r="K118" s="13" t="e">
        <f>VLOOKUP(F118,'Claim Amount'!$B$3:$J$13,4,FALSE)</f>
        <v>#N/A</v>
      </c>
      <c r="L118" s="13" t="e">
        <f t="shared" si="1"/>
        <v>#N/A</v>
      </c>
      <c r="M118" s="61" t="e" cm="1">
        <f t="array" ref="M118">[1]!SPELLNUMBER(L118)</f>
        <v>#VALUE!</v>
      </c>
    </row>
    <row r="119" spans="1:13" s="1" customFormat="1" ht="18.600000000000001" customHeight="1" x14ac:dyDescent="0.25">
      <c r="A119" s="1" t="s">
        <v>261</v>
      </c>
      <c r="B119" s="13" t="s">
        <v>122</v>
      </c>
      <c r="C119" s="13">
        <f>'Paste here'!Y119</f>
        <v>0</v>
      </c>
      <c r="D119" s="13">
        <f>'Paste here'!Z119</f>
        <v>0</v>
      </c>
      <c r="E119" s="13" t="s">
        <v>47</v>
      </c>
      <c r="F119" s="13">
        <f>'Paste here'!E119</f>
        <v>0</v>
      </c>
      <c r="G119" s="13">
        <f>'Paste here'!F119</f>
        <v>0</v>
      </c>
      <c r="H119" s="13">
        <f>'Paste here'!G119</f>
        <v>0</v>
      </c>
      <c r="I119" s="13">
        <f>'Paste here'!N119</f>
        <v>0</v>
      </c>
      <c r="J119" s="13" t="e">
        <f>IF(I119*VLOOKUP(H119,'Claim Amount'!$B$3:$J$24,4,FALSE)&lt;VLOOKUP(H119,'Claim Amount'!$B$3:$J$24,5,FALSE),VLOOKUP(H119,'Claim Amount'!$B$3:$J$24,5,FALSE),I119*VLOOKUP(H119,'Claim Amount'!$B$3:$J$24,4,FALSE))</f>
        <v>#N/A</v>
      </c>
      <c r="K119" s="13" t="e">
        <f>VLOOKUP(F119,'Claim Amount'!$B$3:$J$13,4,FALSE)</f>
        <v>#N/A</v>
      </c>
      <c r="L119" s="13" t="e">
        <f t="shared" si="1"/>
        <v>#N/A</v>
      </c>
      <c r="M119" s="61" t="e" cm="1">
        <f t="array" ref="M119">[1]!SPELLNUMBER(L119)</f>
        <v>#VALUE!</v>
      </c>
    </row>
    <row r="120" spans="1:13" s="1" customFormat="1" ht="18.600000000000001" customHeight="1" x14ac:dyDescent="0.25">
      <c r="A120" s="1" t="s">
        <v>262</v>
      </c>
      <c r="B120" s="13" t="s">
        <v>122</v>
      </c>
      <c r="C120" s="13">
        <f>'Paste here'!Y120</f>
        <v>0</v>
      </c>
      <c r="D120" s="13">
        <f>'Paste here'!Z120</f>
        <v>0</v>
      </c>
      <c r="E120" s="13" t="s">
        <v>47</v>
      </c>
      <c r="F120" s="13">
        <f>'Paste here'!E120</f>
        <v>0</v>
      </c>
      <c r="G120" s="13">
        <f>'Paste here'!F120</f>
        <v>0</v>
      </c>
      <c r="H120" s="13">
        <f>'Paste here'!G120</f>
        <v>0</v>
      </c>
      <c r="I120" s="13">
        <f>'Paste here'!N120</f>
        <v>0</v>
      </c>
      <c r="J120" s="13" t="e">
        <f>IF(I120*VLOOKUP(H120,'Claim Amount'!$B$3:$J$24,4,FALSE)&lt;VLOOKUP(H120,'Claim Amount'!$B$3:$J$24,5,FALSE),VLOOKUP(H120,'Claim Amount'!$B$3:$J$24,5,FALSE),I120*VLOOKUP(H120,'Claim Amount'!$B$3:$J$24,4,FALSE))</f>
        <v>#N/A</v>
      </c>
      <c r="K120" s="13" t="e">
        <f>VLOOKUP(F120,'Claim Amount'!$B$3:$J$13,4,FALSE)</f>
        <v>#N/A</v>
      </c>
      <c r="L120" s="13" t="e">
        <f t="shared" si="1"/>
        <v>#N/A</v>
      </c>
      <c r="M120" s="61" t="e" cm="1">
        <f t="array" ref="M120">[1]!SPELLNUMBER(L120)</f>
        <v>#VALUE!</v>
      </c>
    </row>
    <row r="121" spans="1:13" s="1" customFormat="1" ht="18.600000000000001" customHeight="1" x14ac:dyDescent="0.25">
      <c r="A121" s="1" t="s">
        <v>263</v>
      </c>
      <c r="B121" s="13" t="s">
        <v>122</v>
      </c>
      <c r="C121" s="13">
        <f>'Paste here'!Y121</f>
        <v>0</v>
      </c>
      <c r="D121" s="13">
        <f>'Paste here'!Z121</f>
        <v>0</v>
      </c>
      <c r="E121" s="13" t="s">
        <v>47</v>
      </c>
      <c r="F121" s="13">
        <f>'Paste here'!E121</f>
        <v>0</v>
      </c>
      <c r="G121" s="13">
        <f>'Paste here'!F121</f>
        <v>0</v>
      </c>
      <c r="H121" s="13">
        <f>'Paste here'!G121</f>
        <v>0</v>
      </c>
      <c r="I121" s="13">
        <f>'Paste here'!N121</f>
        <v>0</v>
      </c>
      <c r="J121" s="13" t="e">
        <f>IF(I121*VLOOKUP(H121,'Claim Amount'!$B$3:$J$24,4,FALSE)&lt;VLOOKUP(H121,'Claim Amount'!$B$3:$J$24,5,FALSE),VLOOKUP(H121,'Claim Amount'!$B$3:$J$24,5,FALSE),I121*VLOOKUP(H121,'Claim Amount'!$B$3:$J$24,4,FALSE))</f>
        <v>#N/A</v>
      </c>
      <c r="K121" s="13" t="e">
        <f>VLOOKUP(F121,'Claim Amount'!$B$3:$J$13,4,FALSE)</f>
        <v>#N/A</v>
      </c>
      <c r="L121" s="13" t="e">
        <f t="shared" si="1"/>
        <v>#N/A</v>
      </c>
      <c r="M121" s="61" t="e" cm="1">
        <f t="array" ref="M121">[1]!SPELLNUMBER(L121)</f>
        <v>#VALUE!</v>
      </c>
    </row>
    <row r="122" spans="1:13" s="1" customFormat="1" ht="18.600000000000001" customHeight="1" x14ac:dyDescent="0.25">
      <c r="A122" s="1" t="s">
        <v>264</v>
      </c>
      <c r="B122" s="13" t="s">
        <v>122</v>
      </c>
      <c r="C122" s="13">
        <f>'Paste here'!Y122</f>
        <v>0</v>
      </c>
      <c r="D122" s="13">
        <f>'Paste here'!Z122</f>
        <v>0</v>
      </c>
      <c r="E122" s="13" t="s">
        <v>47</v>
      </c>
      <c r="F122" s="13">
        <f>'Paste here'!E122</f>
        <v>0</v>
      </c>
      <c r="G122" s="13">
        <f>'Paste here'!F122</f>
        <v>0</v>
      </c>
      <c r="H122" s="13">
        <f>'Paste here'!G122</f>
        <v>0</v>
      </c>
      <c r="I122" s="13">
        <f>'Paste here'!N122</f>
        <v>0</v>
      </c>
      <c r="J122" s="13" t="e">
        <f>IF(I122*VLOOKUP(H122,'Claim Amount'!$B$3:$J$24,4,FALSE)&lt;VLOOKUP(H122,'Claim Amount'!$B$3:$J$24,5,FALSE),VLOOKUP(H122,'Claim Amount'!$B$3:$J$24,5,FALSE),I122*VLOOKUP(H122,'Claim Amount'!$B$3:$J$24,4,FALSE))</f>
        <v>#N/A</v>
      </c>
      <c r="K122" s="13" t="e">
        <f>VLOOKUP(F122,'Claim Amount'!$B$3:$J$13,4,FALSE)</f>
        <v>#N/A</v>
      </c>
      <c r="L122" s="13" t="e">
        <f t="shared" si="1"/>
        <v>#N/A</v>
      </c>
      <c r="M122" s="61" t="e" cm="1">
        <f t="array" ref="M122">[1]!SPELLNUMBER(L122)</f>
        <v>#VALUE!</v>
      </c>
    </row>
    <row r="123" spans="1:13" s="1" customFormat="1" ht="18.600000000000001" customHeight="1" x14ac:dyDescent="0.25">
      <c r="A123" s="1" t="s">
        <v>265</v>
      </c>
      <c r="B123" s="13" t="s">
        <v>122</v>
      </c>
      <c r="C123" s="13">
        <f>'Paste here'!Y123</f>
        <v>0</v>
      </c>
      <c r="D123" s="13">
        <f>'Paste here'!Z123</f>
        <v>0</v>
      </c>
      <c r="E123" s="13" t="s">
        <v>47</v>
      </c>
      <c r="F123" s="13">
        <f>'Paste here'!E123</f>
        <v>0</v>
      </c>
      <c r="G123" s="13">
        <f>'Paste here'!F123</f>
        <v>0</v>
      </c>
      <c r="H123" s="13">
        <f>'Paste here'!G123</f>
        <v>0</v>
      </c>
      <c r="I123" s="13">
        <f>'Paste here'!N123</f>
        <v>0</v>
      </c>
      <c r="J123" s="13" t="e">
        <f>IF(I123*VLOOKUP(H123,'Claim Amount'!$B$3:$J$24,4,FALSE)&lt;VLOOKUP(H123,'Claim Amount'!$B$3:$J$24,5,FALSE),VLOOKUP(H123,'Claim Amount'!$B$3:$J$24,5,FALSE),I123*VLOOKUP(H123,'Claim Amount'!$B$3:$J$24,4,FALSE))</f>
        <v>#N/A</v>
      </c>
      <c r="K123" s="13" t="e">
        <f>VLOOKUP(F123,'Claim Amount'!$B$3:$J$13,4,FALSE)</f>
        <v>#N/A</v>
      </c>
      <c r="L123" s="13" t="e">
        <f t="shared" si="1"/>
        <v>#N/A</v>
      </c>
      <c r="M123" s="61" t="e" cm="1">
        <f t="array" ref="M123">[1]!SPELLNUMBER(L123)</f>
        <v>#VALUE!</v>
      </c>
    </row>
    <row r="124" spans="1:13" s="1" customFormat="1" ht="18.600000000000001" customHeight="1" x14ac:dyDescent="0.25">
      <c r="A124" s="1" t="s">
        <v>266</v>
      </c>
      <c r="B124" s="13" t="s">
        <v>122</v>
      </c>
      <c r="C124" s="13">
        <f>'Paste here'!Y124</f>
        <v>0</v>
      </c>
      <c r="D124" s="13">
        <f>'Paste here'!Z124</f>
        <v>0</v>
      </c>
      <c r="E124" s="13" t="s">
        <v>47</v>
      </c>
      <c r="F124" s="13">
        <f>'Paste here'!E124</f>
        <v>0</v>
      </c>
      <c r="G124" s="13">
        <f>'Paste here'!F124</f>
        <v>0</v>
      </c>
      <c r="H124" s="13">
        <f>'Paste here'!G124</f>
        <v>0</v>
      </c>
      <c r="I124" s="13">
        <f>'Paste here'!N124</f>
        <v>0</v>
      </c>
      <c r="J124" s="13" t="e">
        <f>IF(I124*VLOOKUP(H124,'Claim Amount'!$B$3:$J$24,4,FALSE)&lt;VLOOKUP(H124,'Claim Amount'!$B$3:$J$24,5,FALSE),VLOOKUP(H124,'Claim Amount'!$B$3:$J$24,5,FALSE),I124*VLOOKUP(H124,'Claim Amount'!$B$3:$J$24,4,FALSE))</f>
        <v>#N/A</v>
      </c>
      <c r="K124" s="13" t="e">
        <f>VLOOKUP(F124,'Claim Amount'!$B$3:$J$13,4,FALSE)</f>
        <v>#N/A</v>
      </c>
      <c r="L124" s="13" t="e">
        <f t="shared" si="1"/>
        <v>#N/A</v>
      </c>
      <c r="M124" s="61" t="e" cm="1">
        <f t="array" ref="M124">[1]!SPELLNUMBER(L124)</f>
        <v>#VALUE!</v>
      </c>
    </row>
    <row r="125" spans="1:13" s="1" customFormat="1" ht="18.600000000000001" customHeight="1" x14ac:dyDescent="0.25">
      <c r="A125" s="1" t="s">
        <v>267</v>
      </c>
      <c r="B125" s="13" t="s">
        <v>122</v>
      </c>
      <c r="C125" s="13">
        <f>'Paste here'!Y125</f>
        <v>0</v>
      </c>
      <c r="D125" s="13">
        <f>'Paste here'!Z125</f>
        <v>0</v>
      </c>
      <c r="E125" s="13" t="s">
        <v>47</v>
      </c>
      <c r="F125" s="13">
        <f>'Paste here'!E125</f>
        <v>0</v>
      </c>
      <c r="G125" s="13">
        <f>'Paste here'!F125</f>
        <v>0</v>
      </c>
      <c r="H125" s="13">
        <f>'Paste here'!G125</f>
        <v>0</v>
      </c>
      <c r="I125" s="13">
        <f>'Paste here'!N125</f>
        <v>0</v>
      </c>
      <c r="J125" s="13" t="e">
        <f>IF(I125*VLOOKUP(H125,'Claim Amount'!$B$3:$J$24,4,FALSE)&lt;VLOOKUP(H125,'Claim Amount'!$B$3:$J$24,5,FALSE),VLOOKUP(H125,'Claim Amount'!$B$3:$J$24,5,FALSE),I125*VLOOKUP(H125,'Claim Amount'!$B$3:$J$24,4,FALSE))</f>
        <v>#N/A</v>
      </c>
      <c r="K125" s="13" t="e">
        <f>VLOOKUP(F125,'Claim Amount'!$B$3:$J$13,4,FALSE)</f>
        <v>#N/A</v>
      </c>
      <c r="L125" s="13" t="e">
        <f t="shared" si="1"/>
        <v>#N/A</v>
      </c>
      <c r="M125" s="61" t="e" cm="1">
        <f t="array" ref="M125">[1]!SPELLNUMBER(L125)</f>
        <v>#VALUE!</v>
      </c>
    </row>
    <row r="126" spans="1:13" s="1" customFormat="1" ht="18.600000000000001" customHeight="1" x14ac:dyDescent="0.25">
      <c r="A126" s="1" t="s">
        <v>268</v>
      </c>
      <c r="B126" s="13" t="s">
        <v>122</v>
      </c>
      <c r="C126" s="13">
        <f>'Paste here'!Y126</f>
        <v>0</v>
      </c>
      <c r="D126" s="13">
        <f>'Paste here'!Z126</f>
        <v>0</v>
      </c>
      <c r="E126" s="13" t="s">
        <v>47</v>
      </c>
      <c r="F126" s="13">
        <f>'Paste here'!E126</f>
        <v>0</v>
      </c>
      <c r="G126" s="13">
        <f>'Paste here'!F126</f>
        <v>0</v>
      </c>
      <c r="H126" s="13">
        <f>'Paste here'!G126</f>
        <v>0</v>
      </c>
      <c r="I126" s="13">
        <f>'Paste here'!N126</f>
        <v>0</v>
      </c>
      <c r="J126" s="13" t="e">
        <f>IF(I126*VLOOKUP(H126,'Claim Amount'!$B$3:$J$24,4,FALSE)&lt;VLOOKUP(H126,'Claim Amount'!$B$3:$J$24,5,FALSE),VLOOKUP(H126,'Claim Amount'!$B$3:$J$24,5,FALSE),I126*VLOOKUP(H126,'Claim Amount'!$B$3:$J$24,4,FALSE))</f>
        <v>#N/A</v>
      </c>
      <c r="K126" s="13" t="e">
        <f>VLOOKUP(F126,'Claim Amount'!$B$3:$J$13,4,FALSE)</f>
        <v>#N/A</v>
      </c>
      <c r="L126" s="13" t="e">
        <f t="shared" si="1"/>
        <v>#N/A</v>
      </c>
      <c r="M126" s="61" t="e" cm="1">
        <f t="array" ref="M126">[1]!SPELLNUMBER(L126)</f>
        <v>#VALUE!</v>
      </c>
    </row>
    <row r="127" spans="1:13" s="1" customFormat="1" ht="18.600000000000001" customHeight="1" x14ac:dyDescent="0.25">
      <c r="A127" s="1" t="s">
        <v>269</v>
      </c>
      <c r="B127" s="13" t="s">
        <v>122</v>
      </c>
      <c r="C127" s="13">
        <f>'Paste here'!Y127</f>
        <v>0</v>
      </c>
      <c r="D127" s="13">
        <f>'Paste here'!Z127</f>
        <v>0</v>
      </c>
      <c r="E127" s="13" t="s">
        <v>47</v>
      </c>
      <c r="F127" s="13">
        <f>'Paste here'!E127</f>
        <v>0</v>
      </c>
      <c r="G127" s="13">
        <f>'Paste here'!F127</f>
        <v>0</v>
      </c>
      <c r="H127" s="13">
        <f>'Paste here'!G127</f>
        <v>0</v>
      </c>
      <c r="I127" s="13">
        <f>'Paste here'!N127</f>
        <v>0</v>
      </c>
      <c r="J127" s="13" t="e">
        <f>IF(I127*VLOOKUP(H127,'Claim Amount'!$B$3:$J$24,4,FALSE)&lt;VLOOKUP(H127,'Claim Amount'!$B$3:$J$24,5,FALSE),VLOOKUP(H127,'Claim Amount'!$B$3:$J$24,5,FALSE),I127*VLOOKUP(H127,'Claim Amount'!$B$3:$J$24,4,FALSE))</f>
        <v>#N/A</v>
      </c>
      <c r="K127" s="13" t="e">
        <f>VLOOKUP(F127,'Claim Amount'!$B$3:$J$13,4,FALSE)</f>
        <v>#N/A</v>
      </c>
      <c r="L127" s="13" t="e">
        <f t="shared" si="1"/>
        <v>#N/A</v>
      </c>
      <c r="M127" s="61" t="e" cm="1">
        <f t="array" ref="M127">[1]!SPELLNUMBER(L127)</f>
        <v>#VALUE!</v>
      </c>
    </row>
    <row r="128" spans="1:13" s="1" customFormat="1" ht="18.600000000000001" customHeight="1" x14ac:dyDescent="0.25">
      <c r="A128" s="1" t="s">
        <v>270</v>
      </c>
      <c r="B128" s="13" t="s">
        <v>122</v>
      </c>
      <c r="C128" s="13">
        <f>'Paste here'!Y128</f>
        <v>0</v>
      </c>
      <c r="D128" s="13">
        <f>'Paste here'!Z128</f>
        <v>0</v>
      </c>
      <c r="E128" s="13" t="s">
        <v>47</v>
      </c>
      <c r="F128" s="13">
        <f>'Paste here'!E128</f>
        <v>0</v>
      </c>
      <c r="G128" s="13">
        <f>'Paste here'!F128</f>
        <v>0</v>
      </c>
      <c r="H128" s="13">
        <f>'Paste here'!G128</f>
        <v>0</v>
      </c>
      <c r="I128" s="13">
        <f>'Paste here'!N128</f>
        <v>0</v>
      </c>
      <c r="J128" s="13" t="e">
        <f>IF(I128*VLOOKUP(H128,'Claim Amount'!$B$3:$J$24,4,FALSE)&lt;VLOOKUP(H128,'Claim Amount'!$B$3:$J$24,5,FALSE),VLOOKUP(H128,'Claim Amount'!$B$3:$J$24,5,FALSE),I128*VLOOKUP(H128,'Claim Amount'!$B$3:$J$24,4,FALSE))</f>
        <v>#N/A</v>
      </c>
      <c r="K128" s="13" t="e">
        <f>VLOOKUP(F128,'Claim Amount'!$B$3:$J$13,4,FALSE)</f>
        <v>#N/A</v>
      </c>
      <c r="L128" s="13" t="e">
        <f t="shared" si="1"/>
        <v>#N/A</v>
      </c>
      <c r="M128" s="61" t="e" cm="1">
        <f t="array" ref="M128">[1]!SPELLNUMBER(L128)</f>
        <v>#VALUE!</v>
      </c>
    </row>
    <row r="129" spans="1:13" s="1" customFormat="1" ht="18.600000000000001" customHeight="1" x14ac:dyDescent="0.25">
      <c r="A129" s="1" t="s">
        <v>271</v>
      </c>
      <c r="B129" s="13" t="s">
        <v>122</v>
      </c>
      <c r="C129" s="13">
        <f>'Paste here'!Y129</f>
        <v>0</v>
      </c>
      <c r="D129" s="13">
        <f>'Paste here'!Z129</f>
        <v>0</v>
      </c>
      <c r="E129" s="13" t="s">
        <v>47</v>
      </c>
      <c r="F129" s="13">
        <f>'Paste here'!E129</f>
        <v>0</v>
      </c>
      <c r="G129" s="13">
        <f>'Paste here'!F129</f>
        <v>0</v>
      </c>
      <c r="H129" s="13">
        <f>'Paste here'!G129</f>
        <v>0</v>
      </c>
      <c r="I129" s="13">
        <f>'Paste here'!N129</f>
        <v>0</v>
      </c>
      <c r="J129" s="13" t="e">
        <f>IF(I129*VLOOKUP(H129,'Claim Amount'!$B$3:$J$24,4,FALSE)&lt;VLOOKUP(H129,'Claim Amount'!$B$3:$J$24,5,FALSE),VLOOKUP(H129,'Claim Amount'!$B$3:$J$24,5,FALSE),I129*VLOOKUP(H129,'Claim Amount'!$B$3:$J$24,4,FALSE))</f>
        <v>#N/A</v>
      </c>
      <c r="K129" s="13" t="e">
        <f>VLOOKUP(F129,'Claim Amount'!$B$3:$J$13,4,FALSE)</f>
        <v>#N/A</v>
      </c>
      <c r="L129" s="13" t="e">
        <f t="shared" si="1"/>
        <v>#N/A</v>
      </c>
      <c r="M129" s="61" t="e" cm="1">
        <f t="array" ref="M129">[1]!SPELLNUMBER(L129)</f>
        <v>#VALUE!</v>
      </c>
    </row>
    <row r="130" spans="1:13" s="1" customFormat="1" ht="18.600000000000001" customHeight="1" x14ac:dyDescent="0.25">
      <c r="A130" s="1" t="s">
        <v>272</v>
      </c>
      <c r="B130" s="13" t="s">
        <v>122</v>
      </c>
      <c r="C130" s="13">
        <f>'Paste here'!Y130</f>
        <v>0</v>
      </c>
      <c r="D130" s="13">
        <f>'Paste here'!Z130</f>
        <v>0</v>
      </c>
      <c r="E130" s="13" t="s">
        <v>47</v>
      </c>
      <c r="F130" s="13">
        <f>'Paste here'!E130</f>
        <v>0</v>
      </c>
      <c r="G130" s="13">
        <f>'Paste here'!F130</f>
        <v>0</v>
      </c>
      <c r="H130" s="13">
        <f>'Paste here'!G130</f>
        <v>0</v>
      </c>
      <c r="I130" s="13">
        <f>'Paste here'!N130</f>
        <v>0</v>
      </c>
      <c r="J130" s="13" t="e">
        <f>IF(I130*VLOOKUP(H130,'Claim Amount'!$B$3:$J$24,4,FALSE)&lt;VLOOKUP(H130,'Claim Amount'!$B$3:$J$24,5,FALSE),VLOOKUP(H130,'Claim Amount'!$B$3:$J$24,5,FALSE),I130*VLOOKUP(H130,'Claim Amount'!$B$3:$J$24,4,FALSE))</f>
        <v>#N/A</v>
      </c>
      <c r="K130" s="13" t="e">
        <f>VLOOKUP(F130,'Claim Amount'!$B$3:$J$13,4,FALSE)</f>
        <v>#N/A</v>
      </c>
      <c r="L130" s="13" t="e">
        <f t="shared" si="1"/>
        <v>#N/A</v>
      </c>
      <c r="M130" s="61" t="e" cm="1">
        <f t="array" ref="M130">[1]!SPELLNUMBER(L130)</f>
        <v>#VALUE!</v>
      </c>
    </row>
    <row r="131" spans="1:13" s="1" customFormat="1" ht="18.600000000000001" customHeight="1" x14ac:dyDescent="0.25">
      <c r="A131" s="1" t="s">
        <v>273</v>
      </c>
      <c r="B131" s="13" t="s">
        <v>122</v>
      </c>
      <c r="C131" s="13">
        <f>'Paste here'!Y131</f>
        <v>0</v>
      </c>
      <c r="D131" s="13">
        <f>'Paste here'!Z131</f>
        <v>0</v>
      </c>
      <c r="E131" s="13" t="s">
        <v>47</v>
      </c>
      <c r="F131" s="13">
        <f>'Paste here'!E131</f>
        <v>0</v>
      </c>
      <c r="G131" s="13">
        <f>'Paste here'!F131</f>
        <v>0</v>
      </c>
      <c r="H131" s="13">
        <f>'Paste here'!G131</f>
        <v>0</v>
      </c>
      <c r="I131" s="13">
        <f>'Paste here'!N131</f>
        <v>0</v>
      </c>
      <c r="J131" s="13" t="e">
        <f>IF(I131*VLOOKUP(H131,'Claim Amount'!$B$3:$J$24,4,FALSE)&lt;VLOOKUP(H131,'Claim Amount'!$B$3:$J$24,5,FALSE),VLOOKUP(H131,'Claim Amount'!$B$3:$J$24,5,FALSE),I131*VLOOKUP(H131,'Claim Amount'!$B$3:$J$24,4,FALSE))</f>
        <v>#N/A</v>
      </c>
      <c r="K131" s="13" t="e">
        <f>VLOOKUP(F131,'Claim Amount'!$B$3:$J$13,4,FALSE)</f>
        <v>#N/A</v>
      </c>
      <c r="L131" s="13" t="e">
        <f t="shared" ref="L131:L158" si="2">J131</f>
        <v>#N/A</v>
      </c>
      <c r="M131" s="61" t="e" cm="1">
        <f t="array" ref="M131">[1]!SPELLNUMBER(L131)</f>
        <v>#VALUE!</v>
      </c>
    </row>
    <row r="132" spans="1:13" s="1" customFormat="1" ht="18.600000000000001" customHeight="1" x14ac:dyDescent="0.25">
      <c r="A132" s="1" t="s">
        <v>274</v>
      </c>
      <c r="B132" s="13" t="s">
        <v>122</v>
      </c>
      <c r="C132" s="13">
        <f>'Paste here'!Y132</f>
        <v>0</v>
      </c>
      <c r="D132" s="13">
        <f>'Paste here'!Z132</f>
        <v>0</v>
      </c>
      <c r="E132" s="13" t="s">
        <v>47</v>
      </c>
      <c r="F132" s="13">
        <f>'Paste here'!E132</f>
        <v>0</v>
      </c>
      <c r="G132" s="13">
        <f>'Paste here'!F132</f>
        <v>0</v>
      </c>
      <c r="H132" s="13">
        <f>'Paste here'!G132</f>
        <v>0</v>
      </c>
      <c r="I132" s="13">
        <f>'Paste here'!N132</f>
        <v>0</v>
      </c>
      <c r="J132" s="13" t="e">
        <f>IF(I132*VLOOKUP(H132,'Claim Amount'!$B$3:$J$24,4,FALSE)&lt;VLOOKUP(H132,'Claim Amount'!$B$3:$J$24,5,FALSE),VLOOKUP(H132,'Claim Amount'!$B$3:$J$24,5,FALSE),I132*VLOOKUP(H132,'Claim Amount'!$B$3:$J$24,4,FALSE))</f>
        <v>#N/A</v>
      </c>
      <c r="K132" s="13" t="e">
        <f>VLOOKUP(F132,'Claim Amount'!$B$3:$J$13,4,FALSE)</f>
        <v>#N/A</v>
      </c>
      <c r="L132" s="13" t="e">
        <f t="shared" si="2"/>
        <v>#N/A</v>
      </c>
      <c r="M132" s="61" t="e" cm="1">
        <f t="array" ref="M132">[1]!SPELLNUMBER(L132)</f>
        <v>#VALUE!</v>
      </c>
    </row>
    <row r="133" spans="1:13" s="1" customFormat="1" ht="18.600000000000001" customHeight="1" x14ac:dyDescent="0.25">
      <c r="A133" s="1" t="s">
        <v>275</v>
      </c>
      <c r="B133" s="13" t="s">
        <v>122</v>
      </c>
      <c r="C133" s="13">
        <f>'Paste here'!Y133</f>
        <v>0</v>
      </c>
      <c r="D133" s="13">
        <f>'Paste here'!Z133</f>
        <v>0</v>
      </c>
      <c r="E133" s="13" t="s">
        <v>47</v>
      </c>
      <c r="F133" s="13">
        <f>'Paste here'!E133</f>
        <v>0</v>
      </c>
      <c r="G133" s="13">
        <f>'Paste here'!F133</f>
        <v>0</v>
      </c>
      <c r="H133" s="13">
        <f>'Paste here'!G133</f>
        <v>0</v>
      </c>
      <c r="I133" s="13">
        <f>'Paste here'!N133</f>
        <v>0</v>
      </c>
      <c r="J133" s="13" t="e">
        <f>IF(I133*VLOOKUP(H133,'Claim Amount'!$B$3:$J$24,4,FALSE)&lt;VLOOKUP(H133,'Claim Amount'!$B$3:$J$24,5,FALSE),VLOOKUP(H133,'Claim Amount'!$B$3:$J$24,5,FALSE),I133*VLOOKUP(H133,'Claim Amount'!$B$3:$J$24,4,FALSE))</f>
        <v>#N/A</v>
      </c>
      <c r="K133" s="13" t="e">
        <f>VLOOKUP(F133,'Claim Amount'!$B$3:$J$13,4,FALSE)</f>
        <v>#N/A</v>
      </c>
      <c r="L133" s="13" t="e">
        <f t="shared" si="2"/>
        <v>#N/A</v>
      </c>
      <c r="M133" s="61" t="e" cm="1">
        <f t="array" ref="M133">[1]!SPELLNUMBER(L133)</f>
        <v>#VALUE!</v>
      </c>
    </row>
    <row r="134" spans="1:13" s="1" customFormat="1" ht="18.600000000000001" customHeight="1" x14ac:dyDescent="0.25">
      <c r="A134" s="1" t="s">
        <v>276</v>
      </c>
      <c r="B134" s="13" t="s">
        <v>122</v>
      </c>
      <c r="C134" s="13">
        <f>'Paste here'!Y134</f>
        <v>0</v>
      </c>
      <c r="D134" s="13">
        <f>'Paste here'!Z134</f>
        <v>0</v>
      </c>
      <c r="E134" s="13" t="s">
        <v>47</v>
      </c>
      <c r="F134" s="13">
        <f>'Paste here'!E134</f>
        <v>0</v>
      </c>
      <c r="G134" s="13">
        <f>'Paste here'!F134</f>
        <v>0</v>
      </c>
      <c r="H134" s="13">
        <f>'Paste here'!G134</f>
        <v>0</v>
      </c>
      <c r="I134" s="13">
        <f>'Paste here'!N134</f>
        <v>0</v>
      </c>
      <c r="J134" s="13" t="e">
        <f>IF(I134*VLOOKUP(H134,'Claim Amount'!$B$3:$J$24,4,FALSE)&lt;VLOOKUP(H134,'Claim Amount'!$B$3:$J$24,5,FALSE),VLOOKUP(H134,'Claim Amount'!$B$3:$J$24,5,FALSE),I134*VLOOKUP(H134,'Claim Amount'!$B$3:$J$24,4,FALSE))</f>
        <v>#N/A</v>
      </c>
      <c r="K134" s="13" t="e">
        <f>VLOOKUP(F134,'Claim Amount'!$B$3:$J$13,4,FALSE)</f>
        <v>#N/A</v>
      </c>
      <c r="L134" s="13" t="e">
        <f t="shared" si="2"/>
        <v>#N/A</v>
      </c>
      <c r="M134" s="61" t="e" cm="1">
        <f t="array" ref="M134">[1]!SPELLNUMBER(L134)</f>
        <v>#VALUE!</v>
      </c>
    </row>
    <row r="135" spans="1:13" s="1" customFormat="1" ht="18.600000000000001" customHeight="1" x14ac:dyDescent="0.25">
      <c r="A135" s="1" t="s">
        <v>277</v>
      </c>
      <c r="B135" s="13" t="s">
        <v>122</v>
      </c>
      <c r="C135" s="13">
        <f>'Paste here'!Y135</f>
        <v>0</v>
      </c>
      <c r="D135" s="13">
        <f>'Paste here'!Z135</f>
        <v>0</v>
      </c>
      <c r="E135" s="13" t="s">
        <v>47</v>
      </c>
      <c r="F135" s="13">
        <f>'Paste here'!E135</f>
        <v>0</v>
      </c>
      <c r="G135" s="13">
        <f>'Paste here'!F135</f>
        <v>0</v>
      </c>
      <c r="H135" s="13">
        <f>'Paste here'!G135</f>
        <v>0</v>
      </c>
      <c r="I135" s="13">
        <f>'Paste here'!N135</f>
        <v>0</v>
      </c>
      <c r="J135" s="13" t="e">
        <f>IF(I135*VLOOKUP(H135,'Claim Amount'!$B$3:$J$24,4,FALSE)&lt;VLOOKUP(H135,'Claim Amount'!$B$3:$J$24,5,FALSE),VLOOKUP(H135,'Claim Amount'!$B$3:$J$24,5,FALSE),I135*VLOOKUP(H135,'Claim Amount'!$B$3:$J$24,4,FALSE))</f>
        <v>#N/A</v>
      </c>
      <c r="K135" s="13" t="e">
        <f>VLOOKUP(F135,'Claim Amount'!$B$3:$J$13,4,FALSE)</f>
        <v>#N/A</v>
      </c>
      <c r="L135" s="13" t="e">
        <f t="shared" si="2"/>
        <v>#N/A</v>
      </c>
      <c r="M135" s="61" t="e" cm="1">
        <f t="array" ref="M135">[1]!SPELLNUMBER(L135)</f>
        <v>#VALUE!</v>
      </c>
    </row>
    <row r="136" spans="1:13" s="1" customFormat="1" ht="18.600000000000001" customHeight="1" x14ac:dyDescent="0.25">
      <c r="A136" s="1" t="s">
        <v>278</v>
      </c>
      <c r="B136" s="13" t="s">
        <v>122</v>
      </c>
      <c r="C136" s="13">
        <f>'Paste here'!Y136</f>
        <v>0</v>
      </c>
      <c r="D136" s="13">
        <f>'Paste here'!Z136</f>
        <v>0</v>
      </c>
      <c r="E136" s="13" t="s">
        <v>47</v>
      </c>
      <c r="F136" s="13">
        <f>'Paste here'!E136</f>
        <v>0</v>
      </c>
      <c r="G136" s="13">
        <f>'Paste here'!F136</f>
        <v>0</v>
      </c>
      <c r="H136" s="13">
        <f>'Paste here'!G136</f>
        <v>0</v>
      </c>
      <c r="I136" s="13">
        <f>'Paste here'!N136</f>
        <v>0</v>
      </c>
      <c r="J136" s="13" t="e">
        <f>IF(I136*VLOOKUP(H136,'Claim Amount'!$B$3:$J$24,4,FALSE)&lt;VLOOKUP(H136,'Claim Amount'!$B$3:$J$24,5,FALSE),VLOOKUP(H136,'Claim Amount'!$B$3:$J$24,5,FALSE),I136*VLOOKUP(H136,'Claim Amount'!$B$3:$J$24,4,FALSE))</f>
        <v>#N/A</v>
      </c>
      <c r="K136" s="13" t="e">
        <f>VLOOKUP(F136,'Claim Amount'!$B$3:$J$13,4,FALSE)</f>
        <v>#N/A</v>
      </c>
      <c r="L136" s="13" t="e">
        <f t="shared" si="2"/>
        <v>#N/A</v>
      </c>
      <c r="M136" s="61" t="e" cm="1">
        <f t="array" ref="M136">[1]!SPELLNUMBER(L136)</f>
        <v>#VALUE!</v>
      </c>
    </row>
    <row r="137" spans="1:13" s="1" customFormat="1" ht="18.600000000000001" customHeight="1" x14ac:dyDescent="0.25">
      <c r="A137" s="1" t="s">
        <v>279</v>
      </c>
      <c r="B137" s="13" t="s">
        <v>122</v>
      </c>
      <c r="C137" s="13">
        <f>'Paste here'!Y137</f>
        <v>0</v>
      </c>
      <c r="D137" s="13">
        <f>'Paste here'!Z137</f>
        <v>0</v>
      </c>
      <c r="E137" s="13" t="s">
        <v>47</v>
      </c>
      <c r="F137" s="13">
        <f>'Paste here'!E137</f>
        <v>0</v>
      </c>
      <c r="G137" s="13">
        <f>'Paste here'!F137</f>
        <v>0</v>
      </c>
      <c r="H137" s="13">
        <f>'Paste here'!G137</f>
        <v>0</v>
      </c>
      <c r="I137" s="13">
        <f>'Paste here'!N137</f>
        <v>0</v>
      </c>
      <c r="J137" s="13" t="e">
        <f>IF(I137*VLOOKUP(H137,'Claim Amount'!$B$3:$J$24,4,FALSE)&lt;VLOOKUP(H137,'Claim Amount'!$B$3:$J$24,5,FALSE),VLOOKUP(H137,'Claim Amount'!$B$3:$J$24,5,FALSE),I137*VLOOKUP(H137,'Claim Amount'!$B$3:$J$24,4,FALSE))</f>
        <v>#N/A</v>
      </c>
      <c r="K137" s="13" t="e">
        <f>VLOOKUP(F137,'Claim Amount'!$B$3:$J$13,4,FALSE)</f>
        <v>#N/A</v>
      </c>
      <c r="L137" s="13" t="e">
        <f t="shared" si="2"/>
        <v>#N/A</v>
      </c>
      <c r="M137" s="61" t="e" cm="1">
        <f t="array" ref="M137">[1]!SPELLNUMBER(L137)</f>
        <v>#VALUE!</v>
      </c>
    </row>
    <row r="138" spans="1:13" s="1" customFormat="1" ht="18.600000000000001" customHeight="1" x14ac:dyDescent="0.25">
      <c r="A138" s="1" t="s">
        <v>280</v>
      </c>
      <c r="B138" s="13" t="s">
        <v>122</v>
      </c>
      <c r="C138" s="13">
        <f>'Paste here'!Y138</f>
        <v>0</v>
      </c>
      <c r="D138" s="13">
        <f>'Paste here'!Z138</f>
        <v>0</v>
      </c>
      <c r="E138" s="13" t="s">
        <v>47</v>
      </c>
      <c r="F138" s="13">
        <f>'Paste here'!E138</f>
        <v>0</v>
      </c>
      <c r="G138" s="13">
        <f>'Paste here'!F138</f>
        <v>0</v>
      </c>
      <c r="H138" s="13">
        <f>'Paste here'!G138</f>
        <v>0</v>
      </c>
      <c r="I138" s="13">
        <f>'Paste here'!N138</f>
        <v>0</v>
      </c>
      <c r="J138" s="13" t="e">
        <f>IF(I138*VLOOKUP(H138,'Claim Amount'!$B$3:$J$24,4,FALSE)&lt;VLOOKUP(H138,'Claim Amount'!$B$3:$J$24,5,FALSE),VLOOKUP(H138,'Claim Amount'!$B$3:$J$24,5,FALSE),I138*VLOOKUP(H138,'Claim Amount'!$B$3:$J$24,4,FALSE))</f>
        <v>#N/A</v>
      </c>
      <c r="K138" s="13" t="e">
        <f>VLOOKUP(F138,'Claim Amount'!$B$3:$J$13,4,FALSE)</f>
        <v>#N/A</v>
      </c>
      <c r="L138" s="13" t="e">
        <f t="shared" si="2"/>
        <v>#N/A</v>
      </c>
      <c r="M138" s="61" t="e" cm="1">
        <f t="array" ref="M138">[1]!SPELLNUMBER(L138)</f>
        <v>#VALUE!</v>
      </c>
    </row>
    <row r="139" spans="1:13" s="1" customFormat="1" ht="18.600000000000001" customHeight="1" x14ac:dyDescent="0.25">
      <c r="A139" s="1" t="s">
        <v>281</v>
      </c>
      <c r="B139" s="13" t="s">
        <v>122</v>
      </c>
      <c r="C139" s="13">
        <f>'Paste here'!Y139</f>
        <v>0</v>
      </c>
      <c r="D139" s="13">
        <f>'Paste here'!Z139</f>
        <v>0</v>
      </c>
      <c r="E139" s="13" t="s">
        <v>47</v>
      </c>
      <c r="F139" s="13">
        <f>'Paste here'!E139</f>
        <v>0</v>
      </c>
      <c r="G139" s="13">
        <f>'Paste here'!F139</f>
        <v>0</v>
      </c>
      <c r="H139" s="13">
        <f>'Paste here'!G139</f>
        <v>0</v>
      </c>
      <c r="I139" s="13">
        <f>'Paste here'!N139</f>
        <v>0</v>
      </c>
      <c r="J139" s="13" t="e">
        <f>IF(I139*VLOOKUP(H139,'Claim Amount'!$B$3:$J$24,4,FALSE)&lt;VLOOKUP(H139,'Claim Amount'!$B$3:$J$24,5,FALSE),VLOOKUP(H139,'Claim Amount'!$B$3:$J$24,5,FALSE),I139*VLOOKUP(H139,'Claim Amount'!$B$3:$J$24,4,FALSE))</f>
        <v>#N/A</v>
      </c>
      <c r="K139" s="13" t="e">
        <f>VLOOKUP(F139,'Claim Amount'!$B$3:$J$13,4,FALSE)</f>
        <v>#N/A</v>
      </c>
      <c r="L139" s="13" t="e">
        <f t="shared" si="2"/>
        <v>#N/A</v>
      </c>
      <c r="M139" s="61" t="e" cm="1">
        <f t="array" ref="M139">[1]!SPELLNUMBER(L139)</f>
        <v>#VALUE!</v>
      </c>
    </row>
    <row r="140" spans="1:13" s="1" customFormat="1" ht="18.600000000000001" customHeight="1" x14ac:dyDescent="0.25">
      <c r="A140" s="1" t="s">
        <v>282</v>
      </c>
      <c r="B140" s="13" t="s">
        <v>122</v>
      </c>
      <c r="C140" s="13">
        <f>'Paste here'!Y140</f>
        <v>0</v>
      </c>
      <c r="D140" s="13">
        <f>'Paste here'!Z140</f>
        <v>0</v>
      </c>
      <c r="E140" s="13" t="s">
        <v>47</v>
      </c>
      <c r="F140" s="13">
        <f>'Paste here'!E140</f>
        <v>0</v>
      </c>
      <c r="G140" s="13">
        <f>'Paste here'!F140</f>
        <v>0</v>
      </c>
      <c r="H140" s="13">
        <f>'Paste here'!G140</f>
        <v>0</v>
      </c>
      <c r="I140" s="13">
        <f>'Paste here'!N140</f>
        <v>0</v>
      </c>
      <c r="J140" s="13" t="e">
        <f>IF(I140*VLOOKUP(H140,'Claim Amount'!$B$3:$J$24,4,FALSE)&lt;VLOOKUP(H140,'Claim Amount'!$B$3:$J$24,5,FALSE),VLOOKUP(H140,'Claim Amount'!$B$3:$J$24,5,FALSE),I140*VLOOKUP(H140,'Claim Amount'!$B$3:$J$24,4,FALSE))</f>
        <v>#N/A</v>
      </c>
      <c r="K140" s="13" t="e">
        <f>VLOOKUP(F140,'Claim Amount'!$B$3:$J$13,4,FALSE)</f>
        <v>#N/A</v>
      </c>
      <c r="L140" s="13" t="e">
        <f t="shared" si="2"/>
        <v>#N/A</v>
      </c>
      <c r="M140" s="61" t="e" cm="1">
        <f t="array" ref="M140">[1]!SPELLNUMBER(L140)</f>
        <v>#VALUE!</v>
      </c>
    </row>
    <row r="141" spans="1:13" s="1" customFormat="1" ht="18.600000000000001" customHeight="1" x14ac:dyDescent="0.25">
      <c r="A141" s="1" t="s">
        <v>283</v>
      </c>
      <c r="B141" s="13" t="s">
        <v>122</v>
      </c>
      <c r="C141" s="13">
        <f>'Paste here'!Y141</f>
        <v>0</v>
      </c>
      <c r="D141" s="13">
        <f>'Paste here'!Z141</f>
        <v>0</v>
      </c>
      <c r="E141" s="13" t="s">
        <v>47</v>
      </c>
      <c r="F141" s="13">
        <f>'Paste here'!E141</f>
        <v>0</v>
      </c>
      <c r="G141" s="13">
        <f>'Paste here'!F141</f>
        <v>0</v>
      </c>
      <c r="H141" s="13">
        <f>'Paste here'!G141</f>
        <v>0</v>
      </c>
      <c r="I141" s="13">
        <f>'Paste here'!N141</f>
        <v>0</v>
      </c>
      <c r="J141" s="13" t="e">
        <f>IF(I141*VLOOKUP(H141,'Claim Amount'!$B$3:$J$24,4,FALSE)&lt;VLOOKUP(H141,'Claim Amount'!$B$3:$J$24,5,FALSE),VLOOKUP(H141,'Claim Amount'!$B$3:$J$24,5,FALSE),I141*VLOOKUP(H141,'Claim Amount'!$B$3:$J$24,4,FALSE))</f>
        <v>#N/A</v>
      </c>
      <c r="K141" s="13" t="e">
        <f>VLOOKUP(F141,'Claim Amount'!$B$3:$J$13,4,FALSE)</f>
        <v>#N/A</v>
      </c>
      <c r="L141" s="13" t="e">
        <f t="shared" si="2"/>
        <v>#N/A</v>
      </c>
      <c r="M141" s="61" t="e" cm="1">
        <f t="array" ref="M141">[1]!SPELLNUMBER(L141)</f>
        <v>#VALUE!</v>
      </c>
    </row>
    <row r="142" spans="1:13" s="1" customFormat="1" ht="18.600000000000001" customHeight="1" x14ac:dyDescent="0.25">
      <c r="A142" s="1" t="s">
        <v>284</v>
      </c>
      <c r="B142" s="13" t="s">
        <v>122</v>
      </c>
      <c r="C142" s="13">
        <f>'Paste here'!Y142</f>
        <v>0</v>
      </c>
      <c r="D142" s="13">
        <f>'Paste here'!Z142</f>
        <v>0</v>
      </c>
      <c r="E142" s="13" t="s">
        <v>47</v>
      </c>
      <c r="F142" s="13">
        <f>'Paste here'!E142</f>
        <v>0</v>
      </c>
      <c r="G142" s="13">
        <f>'Paste here'!F142</f>
        <v>0</v>
      </c>
      <c r="H142" s="13">
        <f>'Paste here'!G142</f>
        <v>0</v>
      </c>
      <c r="I142" s="13">
        <f>'Paste here'!N142</f>
        <v>0</v>
      </c>
      <c r="J142" s="13" t="e">
        <f>IF(I142*VLOOKUP(H142,'Claim Amount'!$B$3:$J$24,4,FALSE)&lt;VLOOKUP(H142,'Claim Amount'!$B$3:$J$24,5,FALSE),VLOOKUP(H142,'Claim Amount'!$B$3:$J$24,5,FALSE),I142*VLOOKUP(H142,'Claim Amount'!$B$3:$J$24,4,FALSE))</f>
        <v>#N/A</v>
      </c>
      <c r="K142" s="13" t="e">
        <f>VLOOKUP(F142,'Claim Amount'!$B$3:$J$13,4,FALSE)</f>
        <v>#N/A</v>
      </c>
      <c r="L142" s="13" t="e">
        <f t="shared" si="2"/>
        <v>#N/A</v>
      </c>
      <c r="M142" s="61" t="e" cm="1">
        <f t="array" ref="M142">[1]!SPELLNUMBER(L142)</f>
        <v>#VALUE!</v>
      </c>
    </row>
    <row r="143" spans="1:13" s="1" customFormat="1" ht="18.600000000000001" customHeight="1" x14ac:dyDescent="0.25">
      <c r="A143" s="1" t="s">
        <v>285</v>
      </c>
      <c r="B143" s="13" t="s">
        <v>122</v>
      </c>
      <c r="C143" s="13">
        <f>'Paste here'!Y143</f>
        <v>0</v>
      </c>
      <c r="D143" s="13">
        <f>'Paste here'!Z143</f>
        <v>0</v>
      </c>
      <c r="E143" s="13" t="s">
        <v>47</v>
      </c>
      <c r="F143" s="13">
        <f>'Paste here'!E143</f>
        <v>0</v>
      </c>
      <c r="G143" s="13">
        <f>'Paste here'!F143</f>
        <v>0</v>
      </c>
      <c r="H143" s="13">
        <f>'Paste here'!G143</f>
        <v>0</v>
      </c>
      <c r="I143" s="13">
        <f>'Paste here'!N143</f>
        <v>0</v>
      </c>
      <c r="J143" s="13" t="e">
        <f>IF(I143*VLOOKUP(H143,'Claim Amount'!$B$3:$J$24,4,FALSE)&lt;VLOOKUP(H143,'Claim Amount'!$B$3:$J$24,5,FALSE),VLOOKUP(H143,'Claim Amount'!$B$3:$J$24,5,FALSE),I143*VLOOKUP(H143,'Claim Amount'!$B$3:$J$24,4,FALSE))</f>
        <v>#N/A</v>
      </c>
      <c r="K143" s="13" t="e">
        <f>VLOOKUP(F143,'Claim Amount'!$B$3:$J$13,4,FALSE)</f>
        <v>#N/A</v>
      </c>
      <c r="L143" s="13" t="e">
        <f t="shared" si="2"/>
        <v>#N/A</v>
      </c>
      <c r="M143" s="61" t="e" cm="1">
        <f t="array" ref="M143">[1]!SPELLNUMBER(L143)</f>
        <v>#VALUE!</v>
      </c>
    </row>
    <row r="144" spans="1:13" s="1" customFormat="1" ht="18.600000000000001" customHeight="1" x14ac:dyDescent="0.25">
      <c r="A144" s="1" t="s">
        <v>286</v>
      </c>
      <c r="B144" s="13" t="s">
        <v>122</v>
      </c>
      <c r="C144" s="13">
        <f>'Paste here'!Y144</f>
        <v>0</v>
      </c>
      <c r="D144" s="13">
        <f>'Paste here'!Z144</f>
        <v>0</v>
      </c>
      <c r="E144" s="13" t="s">
        <v>47</v>
      </c>
      <c r="F144" s="13">
        <f>'Paste here'!E144</f>
        <v>0</v>
      </c>
      <c r="G144" s="13">
        <f>'Paste here'!F144</f>
        <v>0</v>
      </c>
      <c r="H144" s="13">
        <f>'Paste here'!G144</f>
        <v>0</v>
      </c>
      <c r="I144" s="13">
        <f>'Paste here'!N144</f>
        <v>0</v>
      </c>
      <c r="J144" s="13" t="e">
        <f>IF(I144*VLOOKUP(H144,'Claim Amount'!$B$3:$J$24,4,FALSE)&lt;VLOOKUP(H144,'Claim Amount'!$B$3:$J$24,5,FALSE),VLOOKUP(H144,'Claim Amount'!$B$3:$J$24,5,FALSE),I144*VLOOKUP(H144,'Claim Amount'!$B$3:$J$24,4,FALSE))</f>
        <v>#N/A</v>
      </c>
      <c r="K144" s="13" t="e">
        <f>VLOOKUP(F144,'Claim Amount'!$B$3:$J$13,4,FALSE)</f>
        <v>#N/A</v>
      </c>
      <c r="L144" s="13" t="e">
        <f t="shared" si="2"/>
        <v>#N/A</v>
      </c>
      <c r="M144" s="61" t="e" cm="1">
        <f t="array" ref="M144">[1]!SPELLNUMBER(L144)</f>
        <v>#VALUE!</v>
      </c>
    </row>
    <row r="145" spans="1:13" s="1" customFormat="1" ht="18.600000000000001" customHeight="1" x14ac:dyDescent="0.25">
      <c r="A145" s="1" t="s">
        <v>287</v>
      </c>
      <c r="B145" s="13" t="s">
        <v>122</v>
      </c>
      <c r="C145" s="13">
        <f>'Paste here'!Y145</f>
        <v>0</v>
      </c>
      <c r="D145" s="13">
        <f>'Paste here'!Z145</f>
        <v>0</v>
      </c>
      <c r="E145" s="13" t="s">
        <v>47</v>
      </c>
      <c r="F145" s="13">
        <f>'Paste here'!E145</f>
        <v>0</v>
      </c>
      <c r="G145" s="13">
        <f>'Paste here'!F145</f>
        <v>0</v>
      </c>
      <c r="H145" s="13">
        <f>'Paste here'!G145</f>
        <v>0</v>
      </c>
      <c r="I145" s="13">
        <f>'Paste here'!N145</f>
        <v>0</v>
      </c>
      <c r="J145" s="13" t="e">
        <f>IF(I145*VLOOKUP(H145,'Claim Amount'!$B$3:$J$24,4,FALSE)&lt;VLOOKUP(H145,'Claim Amount'!$B$3:$J$24,5,FALSE),VLOOKUP(H145,'Claim Amount'!$B$3:$J$24,5,FALSE),I145*VLOOKUP(H145,'Claim Amount'!$B$3:$J$24,4,FALSE))</f>
        <v>#N/A</v>
      </c>
      <c r="K145" s="13" t="e">
        <f>VLOOKUP(F145,'Claim Amount'!$B$3:$J$13,4,FALSE)</f>
        <v>#N/A</v>
      </c>
      <c r="L145" s="13" t="e">
        <f t="shared" si="2"/>
        <v>#N/A</v>
      </c>
      <c r="M145" s="61" t="e" cm="1">
        <f t="array" ref="M145">[1]!SPELLNUMBER(L145)</f>
        <v>#VALUE!</v>
      </c>
    </row>
    <row r="146" spans="1:13" s="1" customFormat="1" ht="18.600000000000001" customHeight="1" x14ac:dyDescent="0.25">
      <c r="A146" s="1" t="s">
        <v>288</v>
      </c>
      <c r="B146" s="13" t="s">
        <v>122</v>
      </c>
      <c r="C146" s="13">
        <f>'Paste here'!Y146</f>
        <v>0</v>
      </c>
      <c r="D146" s="13">
        <f>'Paste here'!Z146</f>
        <v>0</v>
      </c>
      <c r="E146" s="13" t="s">
        <v>47</v>
      </c>
      <c r="F146" s="13">
        <f>'Paste here'!E146</f>
        <v>0</v>
      </c>
      <c r="G146" s="13">
        <f>'Paste here'!F146</f>
        <v>0</v>
      </c>
      <c r="H146" s="13">
        <f>'Paste here'!G146</f>
        <v>0</v>
      </c>
      <c r="I146" s="13">
        <f>'Paste here'!N146</f>
        <v>0</v>
      </c>
      <c r="J146" s="13" t="e">
        <f>IF(I146*VLOOKUP(H146,'Claim Amount'!$B$3:$J$24,4,FALSE)&lt;VLOOKUP(H146,'Claim Amount'!$B$3:$J$24,5,FALSE),VLOOKUP(H146,'Claim Amount'!$B$3:$J$24,5,FALSE),I146*VLOOKUP(H146,'Claim Amount'!$B$3:$J$24,4,FALSE))</f>
        <v>#N/A</v>
      </c>
      <c r="K146" s="13" t="e">
        <f>VLOOKUP(F146,'Claim Amount'!$B$3:$J$13,4,FALSE)</f>
        <v>#N/A</v>
      </c>
      <c r="L146" s="13" t="e">
        <f t="shared" si="2"/>
        <v>#N/A</v>
      </c>
      <c r="M146" s="61" t="e" cm="1">
        <f t="array" ref="M146">[1]!SPELLNUMBER(L146)</f>
        <v>#VALUE!</v>
      </c>
    </row>
    <row r="147" spans="1:13" s="1" customFormat="1" ht="18.600000000000001" customHeight="1" x14ac:dyDescent="0.25">
      <c r="A147" s="1" t="s">
        <v>289</v>
      </c>
      <c r="B147" s="13" t="s">
        <v>122</v>
      </c>
      <c r="C147" s="13">
        <f>'Paste here'!Y147</f>
        <v>0</v>
      </c>
      <c r="D147" s="13">
        <f>'Paste here'!Z147</f>
        <v>0</v>
      </c>
      <c r="E147" s="13" t="s">
        <v>47</v>
      </c>
      <c r="F147" s="13">
        <f>'Paste here'!E147</f>
        <v>0</v>
      </c>
      <c r="G147" s="13">
        <f>'Paste here'!F147</f>
        <v>0</v>
      </c>
      <c r="H147" s="13">
        <f>'Paste here'!G147</f>
        <v>0</v>
      </c>
      <c r="I147" s="13">
        <f>'Paste here'!N147</f>
        <v>0</v>
      </c>
      <c r="J147" s="13" t="e">
        <f>IF(I147*VLOOKUP(H147,'Claim Amount'!$B$3:$J$24,4,FALSE)&lt;VLOOKUP(H147,'Claim Amount'!$B$3:$J$24,5,FALSE),VLOOKUP(H147,'Claim Amount'!$B$3:$J$24,5,FALSE),I147*VLOOKUP(H147,'Claim Amount'!$B$3:$J$24,4,FALSE))</f>
        <v>#N/A</v>
      </c>
      <c r="K147" s="13" t="e">
        <f>VLOOKUP(F147,'Claim Amount'!$B$3:$J$13,4,FALSE)</f>
        <v>#N/A</v>
      </c>
      <c r="L147" s="13" t="e">
        <f t="shared" si="2"/>
        <v>#N/A</v>
      </c>
      <c r="M147" s="61" t="e" cm="1">
        <f t="array" ref="M147">[1]!SPELLNUMBER(L147)</f>
        <v>#VALUE!</v>
      </c>
    </row>
    <row r="148" spans="1:13" s="1" customFormat="1" ht="18.600000000000001" customHeight="1" x14ac:dyDescent="0.25">
      <c r="A148" s="1" t="s">
        <v>290</v>
      </c>
      <c r="B148" s="13" t="s">
        <v>122</v>
      </c>
      <c r="C148" s="13">
        <f>'Paste here'!Y148</f>
        <v>0</v>
      </c>
      <c r="D148" s="13">
        <f>'Paste here'!Z148</f>
        <v>0</v>
      </c>
      <c r="E148" s="13" t="s">
        <v>47</v>
      </c>
      <c r="F148" s="13">
        <f>'Paste here'!E148</f>
        <v>0</v>
      </c>
      <c r="G148" s="13">
        <f>'Paste here'!F148</f>
        <v>0</v>
      </c>
      <c r="H148" s="13">
        <f>'Paste here'!G148</f>
        <v>0</v>
      </c>
      <c r="I148" s="13">
        <f>'Paste here'!N148</f>
        <v>0</v>
      </c>
      <c r="J148" s="13" t="e">
        <f>IF(I148*VLOOKUP(H148,'Claim Amount'!$B$3:$J$24,4,FALSE)&lt;VLOOKUP(H148,'Claim Amount'!$B$3:$J$24,5,FALSE),VLOOKUP(H148,'Claim Amount'!$B$3:$J$24,5,FALSE),I148*VLOOKUP(H148,'Claim Amount'!$B$3:$J$24,4,FALSE))</f>
        <v>#N/A</v>
      </c>
      <c r="K148" s="13" t="e">
        <f>VLOOKUP(F148,'Claim Amount'!$B$3:$J$13,4,FALSE)</f>
        <v>#N/A</v>
      </c>
      <c r="L148" s="13" t="e">
        <f t="shared" si="2"/>
        <v>#N/A</v>
      </c>
      <c r="M148" s="61" t="e" cm="1">
        <f t="array" ref="M148">[1]!SPELLNUMBER(L148)</f>
        <v>#VALUE!</v>
      </c>
    </row>
    <row r="149" spans="1:13" s="1" customFormat="1" ht="18.600000000000001" customHeight="1" x14ac:dyDescent="0.25">
      <c r="A149" s="1" t="s">
        <v>291</v>
      </c>
      <c r="B149" s="13" t="s">
        <v>122</v>
      </c>
      <c r="C149" s="13">
        <f>'Paste here'!Y149</f>
        <v>0</v>
      </c>
      <c r="D149" s="13">
        <f>'Paste here'!Z149</f>
        <v>0</v>
      </c>
      <c r="E149" s="13" t="s">
        <v>47</v>
      </c>
      <c r="F149" s="13">
        <f>'Paste here'!E149</f>
        <v>0</v>
      </c>
      <c r="G149" s="13">
        <f>'Paste here'!F149</f>
        <v>0</v>
      </c>
      <c r="H149" s="13">
        <f>'Paste here'!G149</f>
        <v>0</v>
      </c>
      <c r="I149" s="13">
        <f>'Paste here'!N149</f>
        <v>0</v>
      </c>
      <c r="J149" s="13" t="e">
        <f>IF(I149*VLOOKUP(H149,'Claim Amount'!$B$3:$J$24,4,FALSE)&lt;VLOOKUP(H149,'Claim Amount'!$B$3:$J$24,5,FALSE),VLOOKUP(H149,'Claim Amount'!$B$3:$J$24,5,FALSE),I149*VLOOKUP(H149,'Claim Amount'!$B$3:$J$24,4,FALSE))</f>
        <v>#N/A</v>
      </c>
      <c r="K149" s="13" t="e">
        <f>VLOOKUP(F149,'Claim Amount'!$B$3:$J$13,4,FALSE)</f>
        <v>#N/A</v>
      </c>
      <c r="L149" s="13" t="e">
        <f t="shared" si="2"/>
        <v>#N/A</v>
      </c>
      <c r="M149" s="61" t="e" cm="1">
        <f t="array" ref="M149">[1]!SPELLNUMBER(L149)</f>
        <v>#VALUE!</v>
      </c>
    </row>
    <row r="150" spans="1:13" s="1" customFormat="1" ht="18.600000000000001" customHeight="1" x14ac:dyDescent="0.25">
      <c r="A150" s="1" t="s">
        <v>292</v>
      </c>
      <c r="B150" s="13" t="s">
        <v>122</v>
      </c>
      <c r="C150" s="13">
        <f>'Paste here'!Y150</f>
        <v>0</v>
      </c>
      <c r="D150" s="13">
        <f>'Paste here'!Z150</f>
        <v>0</v>
      </c>
      <c r="E150" s="13" t="s">
        <v>47</v>
      </c>
      <c r="F150" s="13">
        <f>'Paste here'!E150</f>
        <v>0</v>
      </c>
      <c r="G150" s="13">
        <f>'Paste here'!F150</f>
        <v>0</v>
      </c>
      <c r="H150" s="13">
        <f>'Paste here'!G150</f>
        <v>0</v>
      </c>
      <c r="I150" s="13">
        <f>'Paste here'!N150</f>
        <v>0</v>
      </c>
      <c r="J150" s="13" t="e">
        <f>IF(I150*VLOOKUP(H150,'Claim Amount'!$B$3:$J$24,4,FALSE)&lt;VLOOKUP(H150,'Claim Amount'!$B$3:$J$24,5,FALSE),VLOOKUP(H150,'Claim Amount'!$B$3:$J$24,5,FALSE),I150*VLOOKUP(H150,'Claim Amount'!$B$3:$J$24,4,FALSE))</f>
        <v>#N/A</v>
      </c>
      <c r="K150" s="13" t="e">
        <f>VLOOKUP(F150,'Claim Amount'!$B$3:$J$13,4,FALSE)</f>
        <v>#N/A</v>
      </c>
      <c r="L150" s="13" t="e">
        <f t="shared" si="2"/>
        <v>#N/A</v>
      </c>
      <c r="M150" s="61" t="e" cm="1">
        <f t="array" ref="M150">[1]!SPELLNUMBER(L150)</f>
        <v>#VALUE!</v>
      </c>
    </row>
    <row r="151" spans="1:13" s="1" customFormat="1" ht="18.600000000000001" customHeight="1" x14ac:dyDescent="0.25">
      <c r="A151" s="1" t="s">
        <v>293</v>
      </c>
      <c r="B151" s="13" t="s">
        <v>122</v>
      </c>
      <c r="C151" s="13">
        <f>'Paste here'!Y151</f>
        <v>0</v>
      </c>
      <c r="D151" s="13">
        <f>'Paste here'!Z151</f>
        <v>0</v>
      </c>
      <c r="E151" s="13" t="s">
        <v>47</v>
      </c>
      <c r="F151" s="13">
        <f>'Paste here'!E151</f>
        <v>0</v>
      </c>
      <c r="G151" s="13">
        <f>'Paste here'!F151</f>
        <v>0</v>
      </c>
      <c r="H151" s="13">
        <f>'Paste here'!G151</f>
        <v>0</v>
      </c>
      <c r="I151" s="13">
        <f>'Paste here'!N151</f>
        <v>0</v>
      </c>
      <c r="J151" s="13" t="e">
        <f>IF(I151*VLOOKUP(H151,'Claim Amount'!$B$3:$J$24,4,FALSE)&lt;VLOOKUP(H151,'Claim Amount'!$B$3:$J$24,5,FALSE),VLOOKUP(H151,'Claim Amount'!$B$3:$J$24,5,FALSE),I151*VLOOKUP(H151,'Claim Amount'!$B$3:$J$24,4,FALSE))</f>
        <v>#N/A</v>
      </c>
      <c r="K151" s="13" t="e">
        <f>VLOOKUP(F151,'Claim Amount'!$B$3:$J$13,4,FALSE)</f>
        <v>#N/A</v>
      </c>
      <c r="L151" s="13" t="e">
        <f t="shared" si="2"/>
        <v>#N/A</v>
      </c>
      <c r="M151" s="61" t="e" cm="1">
        <f t="array" ref="M151">[1]!SPELLNUMBER(L151)</f>
        <v>#VALUE!</v>
      </c>
    </row>
    <row r="152" spans="1:13" s="1" customFormat="1" ht="18.600000000000001" customHeight="1" x14ac:dyDescent="0.25">
      <c r="A152" s="1" t="s">
        <v>294</v>
      </c>
      <c r="B152" s="13" t="s">
        <v>122</v>
      </c>
      <c r="C152" s="13">
        <f>'Paste here'!Y152</f>
        <v>0</v>
      </c>
      <c r="D152" s="13">
        <f>'Paste here'!Z152</f>
        <v>0</v>
      </c>
      <c r="E152" s="13" t="s">
        <v>47</v>
      </c>
      <c r="F152" s="13">
        <f>'Paste here'!E152</f>
        <v>0</v>
      </c>
      <c r="G152" s="13">
        <f>'Paste here'!F152</f>
        <v>0</v>
      </c>
      <c r="H152" s="13">
        <f>'Paste here'!G152</f>
        <v>0</v>
      </c>
      <c r="I152" s="13">
        <f>'Paste here'!N152</f>
        <v>0</v>
      </c>
      <c r="J152" s="13" t="e">
        <f>IF(I152*VLOOKUP(H152,'Claim Amount'!$B$3:$J$24,4,FALSE)&lt;VLOOKUP(H152,'Claim Amount'!$B$3:$J$24,5,FALSE),VLOOKUP(H152,'Claim Amount'!$B$3:$J$24,5,FALSE),I152*VLOOKUP(H152,'Claim Amount'!$B$3:$J$24,4,FALSE))</f>
        <v>#N/A</v>
      </c>
      <c r="K152" s="13" t="e">
        <f>VLOOKUP(F152,'Claim Amount'!$B$3:$J$13,4,FALSE)</f>
        <v>#N/A</v>
      </c>
      <c r="L152" s="13" t="e">
        <f t="shared" si="2"/>
        <v>#N/A</v>
      </c>
      <c r="M152" s="61" t="e" cm="1">
        <f t="array" ref="M152">[1]!SPELLNUMBER(L152)</f>
        <v>#VALUE!</v>
      </c>
    </row>
    <row r="153" spans="1:13" s="1" customFormat="1" ht="18.600000000000001" customHeight="1" x14ac:dyDescent="0.25">
      <c r="A153" s="1" t="s">
        <v>295</v>
      </c>
      <c r="B153" s="13" t="s">
        <v>122</v>
      </c>
      <c r="C153" s="13">
        <f>'Paste here'!Y153</f>
        <v>0</v>
      </c>
      <c r="D153" s="13">
        <f>'Paste here'!Z153</f>
        <v>0</v>
      </c>
      <c r="E153" s="13" t="s">
        <v>47</v>
      </c>
      <c r="F153" s="13">
        <f>'Paste here'!E153</f>
        <v>0</v>
      </c>
      <c r="G153" s="13">
        <f>'Paste here'!F153</f>
        <v>0</v>
      </c>
      <c r="H153" s="13">
        <f>'Paste here'!G153</f>
        <v>0</v>
      </c>
      <c r="I153" s="13">
        <f>'Paste here'!N153</f>
        <v>0</v>
      </c>
      <c r="J153" s="13" t="e">
        <f>IF(I153*VLOOKUP(H153,'Claim Amount'!$B$3:$J$24,4,FALSE)&lt;VLOOKUP(H153,'Claim Amount'!$B$3:$J$24,5,FALSE),VLOOKUP(H153,'Claim Amount'!$B$3:$J$24,5,FALSE),I153*VLOOKUP(H153,'Claim Amount'!$B$3:$J$24,4,FALSE))</f>
        <v>#N/A</v>
      </c>
      <c r="K153" s="13" t="e">
        <f>VLOOKUP(F153,'Claim Amount'!$B$3:$J$13,4,FALSE)</f>
        <v>#N/A</v>
      </c>
      <c r="L153" s="13" t="e">
        <f t="shared" si="2"/>
        <v>#N/A</v>
      </c>
      <c r="M153" s="61" t="e" cm="1">
        <f t="array" ref="M153">[1]!SPELLNUMBER(L153)</f>
        <v>#VALUE!</v>
      </c>
    </row>
    <row r="154" spans="1:13" s="1" customFormat="1" ht="18.600000000000001" customHeight="1" x14ac:dyDescent="0.25">
      <c r="A154" s="1" t="s">
        <v>296</v>
      </c>
      <c r="B154" s="13" t="s">
        <v>122</v>
      </c>
      <c r="C154" s="13">
        <f>'Paste here'!Y154</f>
        <v>0</v>
      </c>
      <c r="D154" s="13">
        <f>'Paste here'!Z154</f>
        <v>0</v>
      </c>
      <c r="E154" s="13" t="s">
        <v>47</v>
      </c>
      <c r="F154" s="13">
        <f>'Paste here'!E154</f>
        <v>0</v>
      </c>
      <c r="G154" s="13">
        <f>'Paste here'!F154</f>
        <v>0</v>
      </c>
      <c r="H154" s="13">
        <f>'Paste here'!G154</f>
        <v>0</v>
      </c>
      <c r="I154" s="13">
        <f>'Paste here'!N154</f>
        <v>0</v>
      </c>
      <c r="J154" s="13" t="e">
        <f>IF(I154*VLOOKUP(H154,'Claim Amount'!$B$3:$J$24,4,FALSE)&lt;VLOOKUP(H154,'Claim Amount'!$B$3:$J$24,5,FALSE),VLOOKUP(H154,'Claim Amount'!$B$3:$J$24,5,FALSE),I154*VLOOKUP(H154,'Claim Amount'!$B$3:$J$24,4,FALSE))</f>
        <v>#N/A</v>
      </c>
      <c r="K154" s="13" t="e">
        <f>VLOOKUP(F154,'Claim Amount'!$B$3:$J$13,4,FALSE)</f>
        <v>#N/A</v>
      </c>
      <c r="L154" s="13" t="e">
        <f t="shared" si="2"/>
        <v>#N/A</v>
      </c>
      <c r="M154" s="61" t="e" cm="1">
        <f t="array" ref="M154">[1]!SPELLNUMBER(L154)</f>
        <v>#VALUE!</v>
      </c>
    </row>
    <row r="155" spans="1:13" s="1" customFormat="1" ht="18.600000000000001" customHeight="1" x14ac:dyDescent="0.25">
      <c r="A155" s="1" t="s">
        <v>297</v>
      </c>
      <c r="B155" s="13" t="s">
        <v>122</v>
      </c>
      <c r="C155" s="13">
        <f>'Paste here'!Y155</f>
        <v>0</v>
      </c>
      <c r="D155" s="13">
        <f>'Paste here'!Z155</f>
        <v>0</v>
      </c>
      <c r="E155" s="13" t="s">
        <v>47</v>
      </c>
      <c r="F155" s="13">
        <f>'Paste here'!E155</f>
        <v>0</v>
      </c>
      <c r="G155" s="13">
        <f>'Paste here'!F155</f>
        <v>0</v>
      </c>
      <c r="H155" s="13">
        <f>'Paste here'!G155</f>
        <v>0</v>
      </c>
      <c r="I155" s="13">
        <f>'Paste here'!N155</f>
        <v>0</v>
      </c>
      <c r="J155" s="13" t="e">
        <f>IF(I155*VLOOKUP(H155,'Claim Amount'!$B$3:$J$24,4,FALSE)&lt;VLOOKUP(H155,'Claim Amount'!$B$3:$J$24,5,FALSE),VLOOKUP(H155,'Claim Amount'!$B$3:$J$24,5,FALSE),I155*VLOOKUP(H155,'Claim Amount'!$B$3:$J$24,4,FALSE))</f>
        <v>#N/A</v>
      </c>
      <c r="K155" s="13" t="e">
        <f>VLOOKUP(F155,'Claim Amount'!$B$3:$J$13,4,FALSE)</f>
        <v>#N/A</v>
      </c>
      <c r="L155" s="13" t="e">
        <f t="shared" si="2"/>
        <v>#N/A</v>
      </c>
      <c r="M155" s="61" t="e" cm="1">
        <f t="array" ref="M155">[1]!SPELLNUMBER(L155)</f>
        <v>#VALUE!</v>
      </c>
    </row>
    <row r="156" spans="1:13" s="1" customFormat="1" ht="18.600000000000001" customHeight="1" x14ac:dyDescent="0.25">
      <c r="A156" s="1" t="s">
        <v>298</v>
      </c>
      <c r="B156" s="13" t="s">
        <v>122</v>
      </c>
      <c r="C156" s="13">
        <f>'Paste here'!Y156</f>
        <v>0</v>
      </c>
      <c r="D156" s="13">
        <f>'Paste here'!Z156</f>
        <v>0</v>
      </c>
      <c r="E156" s="13" t="s">
        <v>47</v>
      </c>
      <c r="F156" s="13">
        <f>'Paste here'!E156</f>
        <v>0</v>
      </c>
      <c r="G156" s="13">
        <f>'Paste here'!F156</f>
        <v>0</v>
      </c>
      <c r="H156" s="13">
        <f>'Paste here'!G156</f>
        <v>0</v>
      </c>
      <c r="I156" s="13">
        <f>'Paste here'!N156</f>
        <v>0</v>
      </c>
      <c r="J156" s="13" t="e">
        <f>IF(I156*VLOOKUP(H156,'Claim Amount'!$B$3:$J$24,4,FALSE)&lt;VLOOKUP(H156,'Claim Amount'!$B$3:$J$24,5,FALSE),VLOOKUP(H156,'Claim Amount'!$B$3:$J$24,5,FALSE),I156*VLOOKUP(H156,'Claim Amount'!$B$3:$J$24,4,FALSE))</f>
        <v>#N/A</v>
      </c>
      <c r="K156" s="13" t="e">
        <f>VLOOKUP(F156,'Claim Amount'!$B$3:$J$13,4,FALSE)</f>
        <v>#N/A</v>
      </c>
      <c r="L156" s="13" t="e">
        <f t="shared" si="2"/>
        <v>#N/A</v>
      </c>
      <c r="M156" s="61" t="e" cm="1">
        <f t="array" ref="M156">[1]!SPELLNUMBER(L156)</f>
        <v>#VALUE!</v>
      </c>
    </row>
    <row r="157" spans="1:13" s="1" customFormat="1" ht="18.600000000000001" customHeight="1" x14ac:dyDescent="0.25">
      <c r="A157" s="1" t="s">
        <v>299</v>
      </c>
      <c r="B157" s="13" t="s">
        <v>122</v>
      </c>
      <c r="C157" s="13">
        <f>'Paste here'!Y157</f>
        <v>0</v>
      </c>
      <c r="D157" s="13">
        <f>'Paste here'!Z157</f>
        <v>0</v>
      </c>
      <c r="E157" s="13" t="s">
        <v>47</v>
      </c>
      <c r="F157" s="13">
        <f>'Paste here'!E157</f>
        <v>0</v>
      </c>
      <c r="G157" s="13">
        <f>'Paste here'!F157</f>
        <v>0</v>
      </c>
      <c r="H157" s="13">
        <f>'Paste here'!G157</f>
        <v>0</v>
      </c>
      <c r="I157" s="13">
        <f>'Paste here'!N157</f>
        <v>0</v>
      </c>
      <c r="J157" s="13" t="e">
        <f>IF(I157*VLOOKUP(H157,'Claim Amount'!$B$3:$J$24,4,FALSE)&lt;VLOOKUP(H157,'Claim Amount'!$B$3:$J$24,5,FALSE),VLOOKUP(H157,'Claim Amount'!$B$3:$J$24,5,FALSE),I157*VLOOKUP(H157,'Claim Amount'!$B$3:$J$24,4,FALSE))</f>
        <v>#N/A</v>
      </c>
      <c r="K157" s="13" t="e">
        <f>VLOOKUP(F157,'Claim Amount'!$B$3:$J$13,4,FALSE)</f>
        <v>#N/A</v>
      </c>
      <c r="L157" s="13" t="e">
        <f t="shared" si="2"/>
        <v>#N/A</v>
      </c>
      <c r="M157" s="61" t="e" cm="1">
        <f t="array" ref="M157">[1]!SPELLNUMBER(L157)</f>
        <v>#VALUE!</v>
      </c>
    </row>
    <row r="158" spans="1:13" s="1" customFormat="1" ht="18.600000000000001" customHeight="1" x14ac:dyDescent="0.25">
      <c r="A158" s="1" t="s">
        <v>300</v>
      </c>
      <c r="B158" s="13" t="s">
        <v>122</v>
      </c>
      <c r="C158" s="13">
        <f>'Paste here'!Y158</f>
        <v>0</v>
      </c>
      <c r="D158" s="13">
        <f>'Paste here'!Z158</f>
        <v>0</v>
      </c>
      <c r="E158" s="13" t="s">
        <v>47</v>
      </c>
      <c r="F158" s="13">
        <f>'Paste here'!E158</f>
        <v>0</v>
      </c>
      <c r="G158" s="13">
        <f>'Paste here'!F158</f>
        <v>0</v>
      </c>
      <c r="H158" s="13">
        <f>'Paste here'!G158</f>
        <v>0</v>
      </c>
      <c r="I158" s="13">
        <f>'Paste here'!N158</f>
        <v>0</v>
      </c>
      <c r="J158" s="13" t="e">
        <f>IF(I158*VLOOKUP(H158,'Claim Amount'!$B$3:$J$24,4,FALSE)&lt;VLOOKUP(H158,'Claim Amount'!$B$3:$J$24,5,FALSE),VLOOKUP(H158,'Claim Amount'!$B$3:$J$24,5,FALSE),I158*VLOOKUP(H158,'Claim Amount'!$B$3:$J$24,4,FALSE))</f>
        <v>#N/A</v>
      </c>
      <c r="K158" s="13" t="e">
        <f>VLOOKUP(F158,'Claim Amount'!$B$3:$J$13,4,FALSE)</f>
        <v>#N/A</v>
      </c>
      <c r="L158" s="13" t="e">
        <f t="shared" si="2"/>
        <v>#N/A</v>
      </c>
      <c r="M158" s="61" t="e" cm="1">
        <f t="array" ref="M158">[1]!SPELLNUMBER(L158)</f>
        <v>#VALUE!</v>
      </c>
    </row>
  </sheetData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69"/>
  <sheetViews>
    <sheetView zoomScale="115" zoomScaleNormal="115" workbookViewId="0">
      <selection activeCell="L2" sqref="L2"/>
    </sheetView>
  </sheetViews>
  <sheetFormatPr defaultRowHeight="15" x14ac:dyDescent="0.25"/>
  <cols>
    <col min="2" max="2" width="15.5703125" customWidth="1"/>
    <col min="3" max="3" width="5.85546875" customWidth="1"/>
    <col min="4" max="4" width="19" bestFit="1" customWidth="1"/>
    <col min="5" max="5" width="7.140625" bestFit="1" customWidth="1"/>
    <col min="6" max="6" width="9.5703125" customWidth="1"/>
    <col min="7" max="7" width="8.140625" customWidth="1"/>
    <col min="8" max="8" width="13.7109375" customWidth="1"/>
    <col min="9" max="9" width="11.28515625" customWidth="1"/>
    <col min="12" max="12" width="21.7109375" customWidth="1"/>
  </cols>
  <sheetData>
    <row r="1" spans="1:12" s="6" customFormat="1" ht="48" customHeight="1" x14ac:dyDescent="0.25">
      <c r="A1" s="6" t="s">
        <v>109</v>
      </c>
      <c r="B1" s="6" t="s">
        <v>111</v>
      </c>
      <c r="C1" s="6" t="s">
        <v>113</v>
      </c>
      <c r="D1" s="6" t="s">
        <v>110</v>
      </c>
      <c r="E1" s="6" t="s">
        <v>118</v>
      </c>
      <c r="F1" s="6" t="s">
        <v>119</v>
      </c>
      <c r="G1" s="6" t="s">
        <v>115</v>
      </c>
      <c r="H1" s="6" t="s">
        <v>4</v>
      </c>
      <c r="I1" s="6" t="s">
        <v>124</v>
      </c>
      <c r="J1" s="6" t="s">
        <v>116</v>
      </c>
      <c r="K1" s="6" t="s">
        <v>121</v>
      </c>
      <c r="L1" s="6" t="s">
        <v>371</v>
      </c>
    </row>
    <row r="2" spans="1:12" ht="17.45" customHeight="1" x14ac:dyDescent="0.25">
      <c r="A2" s="13" t="s">
        <v>50</v>
      </c>
      <c r="B2" s="13" t="s">
        <v>123</v>
      </c>
      <c r="C2" s="13" t="str">
        <f>'Paste here'!AH2</f>
        <v>Mrs.</v>
      </c>
      <c r="D2" s="61" t="str">
        <f>'Paste here'!AI2</f>
        <v>Surya G</v>
      </c>
      <c r="E2" s="13" t="s">
        <v>47</v>
      </c>
      <c r="F2" s="61" t="str">
        <f>'Paste here'!E2</f>
        <v>Only FN</v>
      </c>
      <c r="G2" s="13" t="str">
        <f>'Paste here'!F2</f>
        <v>UG</v>
      </c>
      <c r="H2" s="13" t="str">
        <f>'Paste here'!G2</f>
        <v>TCPL</v>
      </c>
      <c r="I2" s="13">
        <f>'Paste here'!M2</f>
        <v>23</v>
      </c>
      <c r="J2" s="13">
        <f>IF(I2*VLOOKUP(H2,'Claim Amount'!$B$3:$J$24,6,FALSE)&lt;VLOOKUP(H2,'Claim Amount'!$B$3:$J$24,7,FALSE),VLOOKUP(H2,'Claim Amount'!$B$3:$J$24,7,FALSE),I2*VLOOKUP(H2,'Claim Amount'!$B$3:$J$24,6,FALSE))</f>
        <v>230</v>
      </c>
      <c r="K2" s="13">
        <f>SUM(J2:J2)</f>
        <v>230</v>
      </c>
      <c r="L2" t="str" cm="1">
        <f t="array" ref="L2">IF(K2=0,"",[1]!SPELLNUMBER(K2))</f>
        <v xml:space="preserve">Rupees Two Hundred Thirty Only </v>
      </c>
    </row>
    <row r="3" spans="1:12" ht="17.45" customHeight="1" x14ac:dyDescent="0.25">
      <c r="A3" s="13" t="s">
        <v>78</v>
      </c>
      <c r="B3" s="13" t="s">
        <v>123</v>
      </c>
      <c r="C3" s="13">
        <f>'Paste here'!AH3</f>
        <v>0</v>
      </c>
      <c r="D3" s="61">
        <f>'Paste here'!AI3</f>
        <v>0</v>
      </c>
      <c r="E3" s="13" t="s">
        <v>47</v>
      </c>
      <c r="F3" s="61">
        <f>'Paste here'!E3</f>
        <v>0</v>
      </c>
      <c r="G3" s="13">
        <f>'Paste here'!F3</f>
        <v>0</v>
      </c>
      <c r="H3" s="13">
        <f>'Paste here'!G3</f>
        <v>0</v>
      </c>
      <c r="I3" s="13">
        <f>'Paste here'!M3</f>
        <v>0</v>
      </c>
      <c r="J3" s="13" t="e">
        <f>IF(I3*VLOOKUP(H3,'Claim Amount'!$B$3:$J$24,6,FALSE)&lt;VLOOKUP(H3,'Claim Amount'!$B$3:$J$24,7,FALSE),VLOOKUP(H3,'Claim Amount'!$B$3:$J$24,7,FALSE),I3*VLOOKUP(H3,'Claim Amount'!$B$3:$J$24,6,FALSE))</f>
        <v>#N/A</v>
      </c>
      <c r="K3" s="13" t="e">
        <f t="shared" ref="K3:K66" si="0">SUM(J3:J3)</f>
        <v>#N/A</v>
      </c>
      <c r="L3" t="e" cm="1">
        <f t="array" ref="L3">IF(K3=0,"",[1]!SPELLNUMBER(K3))</f>
        <v>#N/A</v>
      </c>
    </row>
    <row r="4" spans="1:12" ht="17.45" customHeight="1" x14ac:dyDescent="0.25">
      <c r="A4" s="13" t="s">
        <v>79</v>
      </c>
      <c r="B4" s="13" t="s">
        <v>123</v>
      </c>
      <c r="C4" s="13">
        <f>'Paste here'!AH4</f>
        <v>0</v>
      </c>
      <c r="D4" s="61">
        <f>'Paste here'!AI4</f>
        <v>0</v>
      </c>
      <c r="E4" s="13" t="s">
        <v>47</v>
      </c>
      <c r="F4" s="61">
        <f>'Paste here'!E4</f>
        <v>0</v>
      </c>
      <c r="G4" s="13">
        <f>'Paste here'!F4</f>
        <v>0</v>
      </c>
      <c r="H4" s="13">
        <f>'Paste here'!G4</f>
        <v>0</v>
      </c>
      <c r="I4" s="13">
        <f>'Paste here'!M4</f>
        <v>0</v>
      </c>
      <c r="J4" s="13" t="e">
        <f>IF(I4*VLOOKUP(H4,'Claim Amount'!$B$3:$J$24,6,FALSE)&lt;VLOOKUP(H4,'Claim Amount'!$B$3:$J$24,7,FALSE),VLOOKUP(H4,'Claim Amount'!$B$3:$J$24,7,FALSE),I4*VLOOKUP(H4,'Claim Amount'!$B$3:$J$24,6,FALSE))</f>
        <v>#N/A</v>
      </c>
      <c r="K4" s="13" t="e">
        <f t="shared" si="0"/>
        <v>#N/A</v>
      </c>
      <c r="L4" t="e" cm="1">
        <f t="array" ref="L4">IF(K4=0,"",[1]!SPELLNUMBER(K4))</f>
        <v>#N/A</v>
      </c>
    </row>
    <row r="5" spans="1:12" ht="17.45" customHeight="1" x14ac:dyDescent="0.25">
      <c r="A5" s="13" t="s">
        <v>51</v>
      </c>
      <c r="B5" s="13" t="s">
        <v>123</v>
      </c>
      <c r="C5" s="13">
        <f>'Paste here'!AH5</f>
        <v>0</v>
      </c>
      <c r="D5" s="61">
        <f>'Paste here'!AI5</f>
        <v>0</v>
      </c>
      <c r="E5" s="13" t="s">
        <v>47</v>
      </c>
      <c r="F5" s="61">
        <f>'Paste here'!E5</f>
        <v>0</v>
      </c>
      <c r="G5" s="13">
        <f>'Paste here'!F5</f>
        <v>0</v>
      </c>
      <c r="H5" s="13">
        <f>'Paste here'!G5</f>
        <v>0</v>
      </c>
      <c r="I5" s="13">
        <f>'Paste here'!M5</f>
        <v>0</v>
      </c>
      <c r="J5" s="13" t="e">
        <f>IF(I5*VLOOKUP(H5,'Claim Amount'!$B$3:$J$24,6,FALSE)&lt;VLOOKUP(H5,'Claim Amount'!$B$3:$J$24,7,FALSE),VLOOKUP(H5,'Claim Amount'!$B$3:$J$24,7,FALSE),I5*VLOOKUP(H5,'Claim Amount'!$B$3:$J$24,6,FALSE))</f>
        <v>#N/A</v>
      </c>
      <c r="K5" s="13" t="e">
        <f t="shared" si="0"/>
        <v>#N/A</v>
      </c>
      <c r="L5" t="e" cm="1">
        <f t="array" ref="L5">IF(K5=0,"",[1]!SPELLNUMBER(K5))</f>
        <v>#N/A</v>
      </c>
    </row>
    <row r="6" spans="1:12" ht="17.45" customHeight="1" x14ac:dyDescent="0.25">
      <c r="A6" s="13" t="s">
        <v>52</v>
      </c>
      <c r="B6" s="13" t="s">
        <v>123</v>
      </c>
      <c r="C6" s="13">
        <f>'Paste here'!AH6</f>
        <v>0</v>
      </c>
      <c r="D6" s="61">
        <f>'Paste here'!AI6</f>
        <v>0</v>
      </c>
      <c r="E6" s="13" t="s">
        <v>47</v>
      </c>
      <c r="F6" s="61">
        <f>'Paste here'!E6</f>
        <v>0</v>
      </c>
      <c r="G6" s="13">
        <f>'Paste here'!F6</f>
        <v>0</v>
      </c>
      <c r="H6" s="13">
        <f>'Paste here'!G6</f>
        <v>0</v>
      </c>
      <c r="I6" s="13">
        <f>'Paste here'!M6</f>
        <v>0</v>
      </c>
      <c r="J6" s="13" t="e">
        <f>IF(I6*VLOOKUP(H6,'Claim Amount'!$B$3:$J$24,6,FALSE)&lt;VLOOKUP(H6,'Claim Amount'!$B$3:$J$24,7,FALSE),VLOOKUP(H6,'Claim Amount'!$B$3:$J$24,7,FALSE),I6*VLOOKUP(H6,'Claim Amount'!$B$3:$J$24,6,FALSE))</f>
        <v>#N/A</v>
      </c>
      <c r="K6" s="13" t="e">
        <f t="shared" si="0"/>
        <v>#N/A</v>
      </c>
      <c r="L6" t="e" cm="1">
        <f t="array" ref="L6">IF(K6=0,"",[1]!SPELLNUMBER(K6))</f>
        <v>#N/A</v>
      </c>
    </row>
    <row r="7" spans="1:12" ht="17.45" customHeight="1" x14ac:dyDescent="0.25">
      <c r="A7" s="13" t="s">
        <v>53</v>
      </c>
      <c r="B7" s="13" t="s">
        <v>123</v>
      </c>
      <c r="C7" s="13">
        <f>'Paste here'!AH7</f>
        <v>0</v>
      </c>
      <c r="D7" s="61">
        <f>'Paste here'!AI7</f>
        <v>0</v>
      </c>
      <c r="E7" s="13" t="s">
        <v>47</v>
      </c>
      <c r="F7" s="61">
        <f>'Paste here'!E7</f>
        <v>0</v>
      </c>
      <c r="G7" s="13">
        <f>'Paste here'!F7</f>
        <v>0</v>
      </c>
      <c r="H7" s="13">
        <f>'Paste here'!G7</f>
        <v>0</v>
      </c>
      <c r="I7" s="13">
        <f>'Paste here'!M7</f>
        <v>0</v>
      </c>
      <c r="J7" s="13" t="e">
        <f>IF(I7*VLOOKUP(H7,'Claim Amount'!$B$3:$J$24,6,FALSE)&lt;VLOOKUP(H7,'Claim Amount'!$B$3:$J$24,7,FALSE),VLOOKUP(H7,'Claim Amount'!$B$3:$J$24,7,FALSE),I7*VLOOKUP(H7,'Claim Amount'!$B$3:$J$24,6,FALSE))</f>
        <v>#N/A</v>
      </c>
      <c r="K7" s="13" t="e">
        <f t="shared" si="0"/>
        <v>#N/A</v>
      </c>
      <c r="L7" t="e" cm="1">
        <f t="array" ref="L7">IF(K7=0,"",[1]!SPELLNUMBER(K7))</f>
        <v>#N/A</v>
      </c>
    </row>
    <row r="8" spans="1:12" ht="17.45" customHeight="1" x14ac:dyDescent="0.25">
      <c r="A8" s="13" t="s">
        <v>54</v>
      </c>
      <c r="B8" s="13" t="s">
        <v>123</v>
      </c>
      <c r="C8" s="13">
        <f>'Paste here'!AH8</f>
        <v>0</v>
      </c>
      <c r="D8" s="61">
        <f>'Paste here'!AI8</f>
        <v>0</v>
      </c>
      <c r="E8" s="13" t="s">
        <v>47</v>
      </c>
      <c r="F8" s="61">
        <f>'Paste here'!E8</f>
        <v>0</v>
      </c>
      <c r="G8" s="13">
        <f>'Paste here'!F8</f>
        <v>0</v>
      </c>
      <c r="H8" s="13">
        <f>'Paste here'!G8</f>
        <v>0</v>
      </c>
      <c r="I8" s="13">
        <f>'Paste here'!M8</f>
        <v>0</v>
      </c>
      <c r="J8" s="13" t="e">
        <f>IF(I8*VLOOKUP(H8,'Claim Amount'!$B$3:$J$24,6,FALSE)&lt;VLOOKUP(H8,'Claim Amount'!$B$3:$J$24,7,FALSE),VLOOKUP(H8,'Claim Amount'!$B$3:$J$24,7,FALSE),I8*VLOOKUP(H8,'Claim Amount'!$B$3:$J$24,6,FALSE))</f>
        <v>#N/A</v>
      </c>
      <c r="K8" s="13" t="e">
        <f t="shared" si="0"/>
        <v>#N/A</v>
      </c>
      <c r="L8" t="e" cm="1">
        <f t="array" ref="L8">IF(K8=0,"",[1]!SPELLNUMBER(K8))</f>
        <v>#N/A</v>
      </c>
    </row>
    <row r="9" spans="1:12" ht="17.45" customHeight="1" x14ac:dyDescent="0.25">
      <c r="A9" s="13" t="s">
        <v>55</v>
      </c>
      <c r="B9" s="13" t="s">
        <v>123</v>
      </c>
      <c r="C9" s="13">
        <f>'Paste here'!AH9</f>
        <v>0</v>
      </c>
      <c r="D9" s="61">
        <f>'Paste here'!AI9</f>
        <v>0</v>
      </c>
      <c r="E9" s="13" t="s">
        <v>47</v>
      </c>
      <c r="F9" s="61">
        <f>'Paste here'!E9</f>
        <v>0</v>
      </c>
      <c r="G9" s="13">
        <f>'Paste here'!F9</f>
        <v>0</v>
      </c>
      <c r="H9" s="13">
        <f>'Paste here'!G9</f>
        <v>0</v>
      </c>
      <c r="I9" s="13">
        <f>'Paste here'!M9</f>
        <v>0</v>
      </c>
      <c r="J9" s="13" t="e">
        <f>IF(I9*VLOOKUP(H9,'Claim Amount'!$B$3:$J$24,6,FALSE)&lt;VLOOKUP(H9,'Claim Amount'!$B$3:$J$24,7,FALSE),VLOOKUP(H9,'Claim Amount'!$B$3:$J$24,7,FALSE),I9*VLOOKUP(H9,'Claim Amount'!$B$3:$J$24,6,FALSE))</f>
        <v>#N/A</v>
      </c>
      <c r="K9" s="13" t="e">
        <f t="shared" si="0"/>
        <v>#N/A</v>
      </c>
      <c r="L9" t="e" cm="1">
        <f t="array" ref="L9">IF(K9=0,"",[1]!SPELLNUMBER(K9))</f>
        <v>#N/A</v>
      </c>
    </row>
    <row r="10" spans="1:12" ht="17.45" customHeight="1" x14ac:dyDescent="0.25">
      <c r="A10" s="13" t="s">
        <v>56</v>
      </c>
      <c r="B10" s="13" t="s">
        <v>123</v>
      </c>
      <c r="C10" s="13">
        <f>'Paste here'!AH10</f>
        <v>0</v>
      </c>
      <c r="D10" s="61">
        <f>'Paste here'!AI10</f>
        <v>0</v>
      </c>
      <c r="E10" s="13" t="s">
        <v>47</v>
      </c>
      <c r="F10" s="61">
        <f>'Paste here'!E10</f>
        <v>0</v>
      </c>
      <c r="G10" s="13">
        <f>'Paste here'!F10</f>
        <v>0</v>
      </c>
      <c r="H10" s="13">
        <f>'Paste here'!G10</f>
        <v>0</v>
      </c>
      <c r="I10" s="13">
        <f>'Paste here'!M10</f>
        <v>0</v>
      </c>
      <c r="J10" s="13" t="e">
        <f>IF(I10*VLOOKUP(H10,'Claim Amount'!$B$3:$J$24,6,FALSE)&lt;VLOOKUP(H10,'Claim Amount'!$B$3:$J$24,7,FALSE),VLOOKUP(H10,'Claim Amount'!$B$3:$J$24,7,FALSE),I10*VLOOKUP(H10,'Claim Amount'!$B$3:$J$24,6,FALSE))</f>
        <v>#N/A</v>
      </c>
      <c r="K10" s="13" t="e">
        <f t="shared" si="0"/>
        <v>#N/A</v>
      </c>
      <c r="L10" t="e" cm="1">
        <f t="array" ref="L10">IF(K10=0,"",[1]!SPELLNUMBER(K10))</f>
        <v>#N/A</v>
      </c>
    </row>
    <row r="11" spans="1:12" ht="17.45" customHeight="1" x14ac:dyDescent="0.25">
      <c r="A11" s="13" t="s">
        <v>57</v>
      </c>
      <c r="B11" s="13" t="s">
        <v>123</v>
      </c>
      <c r="C11" s="13">
        <f>'Paste here'!AH11</f>
        <v>0</v>
      </c>
      <c r="D11" s="61">
        <f>'Paste here'!AI11</f>
        <v>0</v>
      </c>
      <c r="E11" s="13" t="s">
        <v>47</v>
      </c>
      <c r="F11" s="61">
        <f>'Paste here'!E11</f>
        <v>0</v>
      </c>
      <c r="G11" s="13">
        <f>'Paste here'!F11</f>
        <v>0</v>
      </c>
      <c r="H11" s="13">
        <f>'Paste here'!G11</f>
        <v>0</v>
      </c>
      <c r="I11" s="13">
        <f>'Paste here'!M11</f>
        <v>0</v>
      </c>
      <c r="J11" s="13" t="e">
        <f>IF(I11*VLOOKUP(H11,'Claim Amount'!$B$3:$J$24,6,FALSE)&lt;VLOOKUP(H11,'Claim Amount'!$B$3:$J$24,7,FALSE),VLOOKUP(H11,'Claim Amount'!$B$3:$J$24,7,FALSE),I11*VLOOKUP(H11,'Claim Amount'!$B$3:$J$24,6,FALSE))</f>
        <v>#N/A</v>
      </c>
      <c r="K11" s="13" t="e">
        <f t="shared" si="0"/>
        <v>#N/A</v>
      </c>
      <c r="L11" t="e" cm="1">
        <f t="array" ref="L11">IF(K11=0,"",[1]!SPELLNUMBER(K11))</f>
        <v>#N/A</v>
      </c>
    </row>
    <row r="12" spans="1:12" ht="17.45" customHeight="1" x14ac:dyDescent="0.25">
      <c r="A12" s="13" t="s">
        <v>58</v>
      </c>
      <c r="B12" s="13" t="s">
        <v>123</v>
      </c>
      <c r="C12" s="13">
        <f>'Paste here'!AH12</f>
        <v>0</v>
      </c>
      <c r="D12" s="61">
        <f>'Paste here'!AI12</f>
        <v>0</v>
      </c>
      <c r="E12" s="13" t="s">
        <v>47</v>
      </c>
      <c r="F12" s="61">
        <f>'Paste here'!E12</f>
        <v>0</v>
      </c>
      <c r="G12" s="13">
        <f>'Paste here'!F12</f>
        <v>0</v>
      </c>
      <c r="H12" s="13">
        <f>'Paste here'!G12</f>
        <v>0</v>
      </c>
      <c r="I12" s="13">
        <f>'Paste here'!M12</f>
        <v>0</v>
      </c>
      <c r="J12" s="13" t="e">
        <f>IF(I12*VLOOKUP(H12,'Claim Amount'!$B$3:$J$24,6,FALSE)&lt;VLOOKUP(H12,'Claim Amount'!$B$3:$J$24,7,FALSE),VLOOKUP(H12,'Claim Amount'!$B$3:$J$24,7,FALSE),I12*VLOOKUP(H12,'Claim Amount'!$B$3:$J$24,6,FALSE))</f>
        <v>#N/A</v>
      </c>
      <c r="K12" s="13" t="e">
        <f t="shared" si="0"/>
        <v>#N/A</v>
      </c>
      <c r="L12" t="e" cm="1">
        <f t="array" ref="L12">IF(K12=0,"",[1]!SPELLNUMBER(K12))</f>
        <v>#N/A</v>
      </c>
    </row>
    <row r="13" spans="1:12" ht="17.45" customHeight="1" x14ac:dyDescent="0.25">
      <c r="A13" s="13" t="s">
        <v>59</v>
      </c>
      <c r="B13" s="13" t="s">
        <v>123</v>
      </c>
      <c r="C13" s="13">
        <f>'Paste here'!AH13</f>
        <v>0</v>
      </c>
      <c r="D13" s="61">
        <f>'Paste here'!AI13</f>
        <v>0</v>
      </c>
      <c r="E13" s="13" t="s">
        <v>47</v>
      </c>
      <c r="F13" s="61">
        <f>'Paste here'!E13</f>
        <v>0</v>
      </c>
      <c r="G13" s="13">
        <f>'Paste here'!F13</f>
        <v>0</v>
      </c>
      <c r="H13" s="13">
        <f>'Paste here'!G13</f>
        <v>0</v>
      </c>
      <c r="I13" s="13">
        <f>'Paste here'!M13</f>
        <v>0</v>
      </c>
      <c r="J13" s="13" t="e">
        <f>IF(I13*VLOOKUP(H13,'Claim Amount'!$B$3:$J$24,6,FALSE)&lt;VLOOKUP(H13,'Claim Amount'!$B$3:$J$24,7,FALSE),VLOOKUP(H13,'Claim Amount'!$B$3:$J$24,7,FALSE),I13*VLOOKUP(H13,'Claim Amount'!$B$3:$J$24,6,FALSE))</f>
        <v>#N/A</v>
      </c>
      <c r="K13" s="13" t="e">
        <f t="shared" si="0"/>
        <v>#N/A</v>
      </c>
      <c r="L13" t="e" cm="1">
        <f t="array" ref="L13">IF(K13=0,"",[1]!SPELLNUMBER(K13))</f>
        <v>#N/A</v>
      </c>
    </row>
    <row r="14" spans="1:12" ht="17.45" customHeight="1" x14ac:dyDescent="0.25">
      <c r="A14" s="13" t="s">
        <v>60</v>
      </c>
      <c r="B14" s="13" t="s">
        <v>123</v>
      </c>
      <c r="C14" s="13">
        <f>'Paste here'!AH14</f>
        <v>0</v>
      </c>
      <c r="D14" s="61">
        <f>'Paste here'!AI14</f>
        <v>0</v>
      </c>
      <c r="E14" s="13" t="s">
        <v>47</v>
      </c>
      <c r="F14" s="61">
        <f>'Paste here'!E14</f>
        <v>0</v>
      </c>
      <c r="G14" s="13">
        <f>'Paste here'!F14</f>
        <v>0</v>
      </c>
      <c r="H14" s="13">
        <f>'Paste here'!G14</f>
        <v>0</v>
      </c>
      <c r="I14" s="13">
        <f>'Paste here'!M14</f>
        <v>0</v>
      </c>
      <c r="J14" s="13" t="e">
        <f>IF(I14*VLOOKUP(H14,'Claim Amount'!$B$3:$J$24,6,FALSE)&lt;VLOOKUP(H14,'Claim Amount'!$B$3:$J$24,7,FALSE),VLOOKUP(H14,'Claim Amount'!$B$3:$J$24,7,FALSE),I14*VLOOKUP(H14,'Claim Amount'!$B$3:$J$24,6,FALSE))</f>
        <v>#N/A</v>
      </c>
      <c r="K14" s="13" t="e">
        <f t="shared" si="0"/>
        <v>#N/A</v>
      </c>
      <c r="L14" t="e" cm="1">
        <f t="array" ref="L14">IF(K14=0,"",[1]!SPELLNUMBER(K14))</f>
        <v>#N/A</v>
      </c>
    </row>
    <row r="15" spans="1:12" ht="17.45" customHeight="1" x14ac:dyDescent="0.25">
      <c r="A15" s="13" t="s">
        <v>61</v>
      </c>
      <c r="B15" s="13" t="s">
        <v>123</v>
      </c>
      <c r="C15" s="13">
        <f>'Paste here'!AH15</f>
        <v>0</v>
      </c>
      <c r="D15" s="61">
        <f>'Paste here'!AI15</f>
        <v>0</v>
      </c>
      <c r="E15" s="13" t="s">
        <v>47</v>
      </c>
      <c r="F15" s="61">
        <f>'Paste here'!E15</f>
        <v>0</v>
      </c>
      <c r="G15" s="13">
        <f>'Paste here'!F15</f>
        <v>0</v>
      </c>
      <c r="H15" s="13">
        <f>'Paste here'!G15</f>
        <v>0</v>
      </c>
      <c r="I15" s="13">
        <f>'Paste here'!M15</f>
        <v>0</v>
      </c>
      <c r="J15" s="13" t="e">
        <f>IF(I15*VLOOKUP(H15,'Claim Amount'!$B$3:$J$24,6,FALSE)&lt;VLOOKUP(H15,'Claim Amount'!$B$3:$J$24,7,FALSE),VLOOKUP(H15,'Claim Amount'!$B$3:$J$24,7,FALSE),I15*VLOOKUP(H15,'Claim Amount'!$B$3:$J$24,6,FALSE))</f>
        <v>#N/A</v>
      </c>
      <c r="K15" s="13" t="e">
        <f t="shared" si="0"/>
        <v>#N/A</v>
      </c>
      <c r="L15" t="e" cm="1">
        <f t="array" ref="L15">IF(K15=0,"",[1]!SPELLNUMBER(K15))</f>
        <v>#N/A</v>
      </c>
    </row>
    <row r="16" spans="1:12" ht="17.45" customHeight="1" x14ac:dyDescent="0.25">
      <c r="A16" s="13" t="s">
        <v>62</v>
      </c>
      <c r="B16" s="13" t="s">
        <v>123</v>
      </c>
      <c r="C16" s="13">
        <f>'Paste here'!AH16</f>
        <v>0</v>
      </c>
      <c r="D16" s="61">
        <f>'Paste here'!AI16</f>
        <v>0</v>
      </c>
      <c r="E16" s="13" t="s">
        <v>47</v>
      </c>
      <c r="F16" s="61">
        <f>'Paste here'!E16</f>
        <v>0</v>
      </c>
      <c r="G16" s="13">
        <f>'Paste here'!F16</f>
        <v>0</v>
      </c>
      <c r="H16" s="13">
        <f>'Paste here'!G16</f>
        <v>0</v>
      </c>
      <c r="I16" s="13">
        <f>'Paste here'!M16</f>
        <v>0</v>
      </c>
      <c r="J16" s="13" t="e">
        <f>IF(I16*VLOOKUP(H16,'Claim Amount'!$B$3:$J$24,6,FALSE)&lt;VLOOKUP(H16,'Claim Amount'!$B$3:$J$24,7,FALSE),VLOOKUP(H16,'Claim Amount'!$B$3:$J$24,7,FALSE),I16*VLOOKUP(H16,'Claim Amount'!$B$3:$J$24,6,FALSE))</f>
        <v>#N/A</v>
      </c>
      <c r="K16" s="13" t="e">
        <f t="shared" si="0"/>
        <v>#N/A</v>
      </c>
      <c r="L16" t="e" cm="1">
        <f t="array" ref="L16">IF(K16=0,"",[1]!SPELLNUMBER(K16))</f>
        <v>#N/A</v>
      </c>
    </row>
    <row r="17" spans="1:12" ht="17.45" customHeight="1" x14ac:dyDescent="0.25">
      <c r="A17" s="13" t="s">
        <v>63</v>
      </c>
      <c r="B17" s="13" t="s">
        <v>123</v>
      </c>
      <c r="C17" s="13">
        <f>'Paste here'!AH17</f>
        <v>0</v>
      </c>
      <c r="D17" s="61">
        <f>'Paste here'!AI17</f>
        <v>0</v>
      </c>
      <c r="E17" s="13" t="s">
        <v>47</v>
      </c>
      <c r="F17" s="61">
        <f>'Paste here'!E17</f>
        <v>0</v>
      </c>
      <c r="G17" s="13">
        <f>'Paste here'!F17</f>
        <v>0</v>
      </c>
      <c r="H17" s="13">
        <f>'Paste here'!G17</f>
        <v>0</v>
      </c>
      <c r="I17" s="13">
        <f>'Paste here'!M17</f>
        <v>0</v>
      </c>
      <c r="J17" s="13" t="e">
        <f>IF(I17*VLOOKUP(H17,'Claim Amount'!$B$3:$J$24,6,FALSE)&lt;VLOOKUP(H17,'Claim Amount'!$B$3:$J$24,7,FALSE),VLOOKUP(H17,'Claim Amount'!$B$3:$J$24,7,FALSE),I17*VLOOKUP(H17,'Claim Amount'!$B$3:$J$24,6,FALSE))</f>
        <v>#N/A</v>
      </c>
      <c r="K17" s="13" t="e">
        <f t="shared" si="0"/>
        <v>#N/A</v>
      </c>
      <c r="L17" t="e" cm="1">
        <f t="array" ref="L17">IF(K17=0,"",[1]!SPELLNUMBER(K17))</f>
        <v>#N/A</v>
      </c>
    </row>
    <row r="18" spans="1:12" ht="17.45" customHeight="1" x14ac:dyDescent="0.25">
      <c r="A18" s="13" t="s">
        <v>64</v>
      </c>
      <c r="B18" s="13" t="s">
        <v>123</v>
      </c>
      <c r="C18" s="13">
        <f>'Paste here'!AH18</f>
        <v>0</v>
      </c>
      <c r="D18" s="61">
        <f>'Paste here'!AI18</f>
        <v>0</v>
      </c>
      <c r="E18" s="13" t="s">
        <v>47</v>
      </c>
      <c r="F18" s="61">
        <f>'Paste here'!E18</f>
        <v>0</v>
      </c>
      <c r="G18" s="13">
        <f>'Paste here'!F18</f>
        <v>0</v>
      </c>
      <c r="H18" s="13">
        <f>'Paste here'!G18</f>
        <v>0</v>
      </c>
      <c r="I18" s="13">
        <f>'Paste here'!M18</f>
        <v>0</v>
      </c>
      <c r="J18" s="13" t="e">
        <f>IF(I18*VLOOKUP(H18,'Claim Amount'!$B$3:$J$24,6,FALSE)&lt;VLOOKUP(H18,'Claim Amount'!$B$3:$J$24,7,FALSE),VLOOKUP(H18,'Claim Amount'!$B$3:$J$24,7,FALSE),I18*VLOOKUP(H18,'Claim Amount'!$B$3:$J$24,6,FALSE))</f>
        <v>#N/A</v>
      </c>
      <c r="K18" s="13" t="e">
        <f t="shared" si="0"/>
        <v>#N/A</v>
      </c>
      <c r="L18" t="e" cm="1">
        <f t="array" ref="L18">IF(K18=0,"",[1]!SPELLNUMBER(K18))</f>
        <v>#N/A</v>
      </c>
    </row>
    <row r="19" spans="1:12" ht="17.45" customHeight="1" x14ac:dyDescent="0.25">
      <c r="A19" s="13" t="s">
        <v>65</v>
      </c>
      <c r="B19" s="13" t="s">
        <v>123</v>
      </c>
      <c r="C19" s="13">
        <f>'Paste here'!AH19</f>
        <v>0</v>
      </c>
      <c r="D19" s="61">
        <f>'Paste here'!AI19</f>
        <v>0</v>
      </c>
      <c r="E19" s="13" t="s">
        <v>47</v>
      </c>
      <c r="F19" s="61">
        <f>'Paste here'!E19</f>
        <v>0</v>
      </c>
      <c r="G19" s="13">
        <f>'Paste here'!F19</f>
        <v>0</v>
      </c>
      <c r="H19" s="13">
        <f>'Paste here'!G19</f>
        <v>0</v>
      </c>
      <c r="I19" s="13">
        <f>'Paste here'!M19</f>
        <v>0</v>
      </c>
      <c r="J19" s="13" t="e">
        <f>IF(I19*VLOOKUP(H19,'Claim Amount'!$B$3:$J$24,6,FALSE)&lt;VLOOKUP(H19,'Claim Amount'!$B$3:$J$24,7,FALSE),VLOOKUP(H19,'Claim Amount'!$B$3:$J$24,7,FALSE),I19*VLOOKUP(H19,'Claim Amount'!$B$3:$J$24,6,FALSE))</f>
        <v>#N/A</v>
      </c>
      <c r="K19" s="13" t="e">
        <f t="shared" si="0"/>
        <v>#N/A</v>
      </c>
      <c r="L19" t="e" cm="1">
        <f t="array" ref="L19">IF(K19=0,"",[1]!SPELLNUMBER(K19))</f>
        <v>#N/A</v>
      </c>
    </row>
    <row r="20" spans="1:12" ht="17.45" customHeight="1" x14ac:dyDescent="0.25">
      <c r="A20" s="13" t="s">
        <v>66</v>
      </c>
      <c r="B20" s="13" t="s">
        <v>123</v>
      </c>
      <c r="C20" s="13">
        <f>'Paste here'!AH20</f>
        <v>0</v>
      </c>
      <c r="D20" s="61">
        <f>'Paste here'!AI20</f>
        <v>0</v>
      </c>
      <c r="E20" s="13" t="s">
        <v>47</v>
      </c>
      <c r="F20" s="61">
        <f>'Paste here'!E20</f>
        <v>0</v>
      </c>
      <c r="G20" s="13">
        <f>'Paste here'!F20</f>
        <v>0</v>
      </c>
      <c r="H20" s="13">
        <f>'Paste here'!G20</f>
        <v>0</v>
      </c>
      <c r="I20" s="13">
        <f>'Paste here'!M20</f>
        <v>0</v>
      </c>
      <c r="J20" s="13" t="e">
        <f>IF(I20*VLOOKUP(H20,'Claim Amount'!$B$3:$J$24,6,FALSE)&lt;VLOOKUP(H20,'Claim Amount'!$B$3:$J$24,7,FALSE),VLOOKUP(H20,'Claim Amount'!$B$3:$J$24,7,FALSE),I20*VLOOKUP(H20,'Claim Amount'!$B$3:$J$24,6,FALSE))</f>
        <v>#N/A</v>
      </c>
      <c r="K20" s="13" t="e">
        <f t="shared" si="0"/>
        <v>#N/A</v>
      </c>
      <c r="L20" t="e" cm="1">
        <f t="array" ref="L20">IF(K20=0,"",[1]!SPELLNUMBER(K20))</f>
        <v>#N/A</v>
      </c>
    </row>
    <row r="21" spans="1:12" ht="17.45" customHeight="1" x14ac:dyDescent="0.25">
      <c r="A21" s="13" t="s">
        <v>67</v>
      </c>
      <c r="B21" s="13" t="s">
        <v>123</v>
      </c>
      <c r="C21" s="13">
        <f>'Paste here'!AH21</f>
        <v>0</v>
      </c>
      <c r="D21" s="61">
        <f>'Paste here'!AI21</f>
        <v>0</v>
      </c>
      <c r="E21" s="13" t="s">
        <v>47</v>
      </c>
      <c r="F21" s="61">
        <f>'Paste here'!E21</f>
        <v>0</v>
      </c>
      <c r="G21" s="13">
        <f>'Paste here'!F21</f>
        <v>0</v>
      </c>
      <c r="H21" s="13">
        <f>'Paste here'!G21</f>
        <v>0</v>
      </c>
      <c r="I21" s="13">
        <f>'Paste here'!M21</f>
        <v>0</v>
      </c>
      <c r="J21" s="13" t="e">
        <f>IF(I21*VLOOKUP(H21,'Claim Amount'!$B$3:$J$24,6,FALSE)&lt;VLOOKUP(H21,'Claim Amount'!$B$3:$J$24,7,FALSE),VLOOKUP(H21,'Claim Amount'!$B$3:$J$24,7,FALSE),I21*VLOOKUP(H21,'Claim Amount'!$B$3:$J$24,6,FALSE))</f>
        <v>#N/A</v>
      </c>
      <c r="K21" s="13" t="e">
        <f t="shared" si="0"/>
        <v>#N/A</v>
      </c>
      <c r="L21" t="e" cm="1">
        <f t="array" ref="L21">IF(K21=0,"",[1]!SPELLNUMBER(K21))</f>
        <v>#N/A</v>
      </c>
    </row>
    <row r="22" spans="1:12" ht="17.45" customHeight="1" x14ac:dyDescent="0.25">
      <c r="A22" s="13" t="s">
        <v>68</v>
      </c>
      <c r="B22" s="13" t="s">
        <v>123</v>
      </c>
      <c r="C22" s="13">
        <f>'Paste here'!AH22</f>
        <v>0</v>
      </c>
      <c r="D22" s="61">
        <f>'Paste here'!AI22</f>
        <v>0</v>
      </c>
      <c r="E22" s="13" t="s">
        <v>47</v>
      </c>
      <c r="F22" s="61">
        <f>'Paste here'!E22</f>
        <v>0</v>
      </c>
      <c r="G22" s="13">
        <f>'Paste here'!F22</f>
        <v>0</v>
      </c>
      <c r="H22" s="13">
        <f>'Paste here'!G22</f>
        <v>0</v>
      </c>
      <c r="I22" s="13">
        <f>'Paste here'!M22</f>
        <v>0</v>
      </c>
      <c r="J22" s="13" t="e">
        <f>IF(I22*VLOOKUP(H22,'Claim Amount'!$B$3:$J$24,6,FALSE)&lt;VLOOKUP(H22,'Claim Amount'!$B$3:$J$24,7,FALSE),VLOOKUP(H22,'Claim Amount'!$B$3:$J$24,7,FALSE),I22*VLOOKUP(H22,'Claim Amount'!$B$3:$J$24,6,FALSE))</f>
        <v>#N/A</v>
      </c>
      <c r="K22" s="13" t="e">
        <f t="shared" si="0"/>
        <v>#N/A</v>
      </c>
      <c r="L22" t="e" cm="1">
        <f t="array" ref="L22">IF(K22=0,"",[1]!SPELLNUMBER(K22))</f>
        <v>#N/A</v>
      </c>
    </row>
    <row r="23" spans="1:12" ht="17.45" customHeight="1" x14ac:dyDescent="0.25">
      <c r="A23" s="13" t="s">
        <v>69</v>
      </c>
      <c r="B23" s="13" t="s">
        <v>123</v>
      </c>
      <c r="C23" s="13">
        <f>'Paste here'!AH23</f>
        <v>0</v>
      </c>
      <c r="D23" s="61">
        <f>'Paste here'!AI23</f>
        <v>0</v>
      </c>
      <c r="E23" s="13" t="s">
        <v>47</v>
      </c>
      <c r="F23" s="61">
        <f>'Paste here'!E23</f>
        <v>0</v>
      </c>
      <c r="G23" s="13">
        <f>'Paste here'!F23</f>
        <v>0</v>
      </c>
      <c r="H23" s="13">
        <f>'Paste here'!G23</f>
        <v>0</v>
      </c>
      <c r="I23" s="13">
        <f>'Paste here'!M23</f>
        <v>0</v>
      </c>
      <c r="J23" s="13" t="e">
        <f>IF(I23*VLOOKUP(H23,'Claim Amount'!$B$3:$J$24,6,FALSE)&lt;VLOOKUP(H23,'Claim Amount'!$B$3:$J$24,7,FALSE),VLOOKUP(H23,'Claim Amount'!$B$3:$J$24,7,FALSE),I23*VLOOKUP(H23,'Claim Amount'!$B$3:$J$24,6,FALSE))</f>
        <v>#N/A</v>
      </c>
      <c r="K23" s="13" t="e">
        <f t="shared" si="0"/>
        <v>#N/A</v>
      </c>
      <c r="L23" t="e" cm="1">
        <f t="array" ref="L23">IF(K23=0,"",[1]!SPELLNUMBER(K23))</f>
        <v>#N/A</v>
      </c>
    </row>
    <row r="24" spans="1:12" ht="17.45" customHeight="1" x14ac:dyDescent="0.25">
      <c r="A24" s="13" t="s">
        <v>70</v>
      </c>
      <c r="B24" s="13" t="s">
        <v>123</v>
      </c>
      <c r="C24" s="13">
        <f>'Paste here'!AH24</f>
        <v>0</v>
      </c>
      <c r="D24" s="61">
        <f>'Paste here'!AI24</f>
        <v>0</v>
      </c>
      <c r="E24" s="13" t="s">
        <v>47</v>
      </c>
      <c r="F24" s="61">
        <f>'Paste here'!E24</f>
        <v>0</v>
      </c>
      <c r="G24" s="13">
        <f>'Paste here'!F24</f>
        <v>0</v>
      </c>
      <c r="H24" s="13">
        <f>'Paste here'!G24</f>
        <v>0</v>
      </c>
      <c r="I24" s="13">
        <f>'Paste here'!M24</f>
        <v>0</v>
      </c>
      <c r="J24" s="13" t="e">
        <f>IF(I24*VLOOKUP(H24,'Claim Amount'!$B$3:$J$24,6,FALSE)&lt;VLOOKUP(H24,'Claim Amount'!$B$3:$J$24,7,FALSE),VLOOKUP(H24,'Claim Amount'!$B$3:$J$24,7,FALSE),I24*VLOOKUP(H24,'Claim Amount'!$B$3:$J$24,6,FALSE))</f>
        <v>#N/A</v>
      </c>
      <c r="K24" s="13" t="e">
        <f t="shared" si="0"/>
        <v>#N/A</v>
      </c>
      <c r="L24" t="e" cm="1">
        <f t="array" ref="L24">IF(K24=0,"",[1]!SPELLNUMBER(K24))</f>
        <v>#N/A</v>
      </c>
    </row>
    <row r="25" spans="1:12" ht="17.45" customHeight="1" x14ac:dyDescent="0.25">
      <c r="A25" s="13" t="s">
        <v>71</v>
      </c>
      <c r="B25" s="13" t="s">
        <v>123</v>
      </c>
      <c r="C25" s="13">
        <f>'Paste here'!AH25</f>
        <v>0</v>
      </c>
      <c r="D25" s="61">
        <f>'Paste here'!AI25</f>
        <v>0</v>
      </c>
      <c r="E25" s="13" t="s">
        <v>47</v>
      </c>
      <c r="F25" s="61">
        <f>'Paste here'!E25</f>
        <v>0</v>
      </c>
      <c r="G25" s="13">
        <f>'Paste here'!F25</f>
        <v>0</v>
      </c>
      <c r="H25" s="13">
        <f>'Paste here'!G25</f>
        <v>0</v>
      </c>
      <c r="I25" s="13">
        <f>'Paste here'!M25</f>
        <v>0</v>
      </c>
      <c r="J25" s="13" t="e">
        <f>IF(I25*VLOOKUP(H25,'Claim Amount'!$B$3:$J$24,6,FALSE)&lt;VLOOKUP(H25,'Claim Amount'!$B$3:$J$24,7,FALSE),VLOOKUP(H25,'Claim Amount'!$B$3:$J$24,7,FALSE),I25*VLOOKUP(H25,'Claim Amount'!$B$3:$J$24,6,FALSE))</f>
        <v>#N/A</v>
      </c>
      <c r="K25" s="13" t="e">
        <f t="shared" si="0"/>
        <v>#N/A</v>
      </c>
      <c r="L25" t="e" cm="1">
        <f t="array" ref="L25">IF(K25=0,"",[1]!SPELLNUMBER(K25))</f>
        <v>#N/A</v>
      </c>
    </row>
    <row r="26" spans="1:12" ht="17.45" customHeight="1" x14ac:dyDescent="0.25">
      <c r="A26" s="13" t="s">
        <v>72</v>
      </c>
      <c r="B26" s="13" t="s">
        <v>123</v>
      </c>
      <c r="C26" s="13">
        <f>'Paste here'!AH26</f>
        <v>0</v>
      </c>
      <c r="D26" s="61">
        <f>'Paste here'!AI26</f>
        <v>0</v>
      </c>
      <c r="E26" s="13" t="s">
        <v>47</v>
      </c>
      <c r="F26" s="61">
        <f>'Paste here'!E26</f>
        <v>0</v>
      </c>
      <c r="G26" s="13">
        <f>'Paste here'!F26</f>
        <v>0</v>
      </c>
      <c r="H26" s="13">
        <f>'Paste here'!G26</f>
        <v>0</v>
      </c>
      <c r="I26" s="13">
        <f>'Paste here'!M26</f>
        <v>0</v>
      </c>
      <c r="J26" s="13" t="e">
        <f>IF(I26*VLOOKUP(H26,'Claim Amount'!$B$3:$J$24,6,FALSE)&lt;VLOOKUP(H26,'Claim Amount'!$B$3:$J$24,7,FALSE),VLOOKUP(H26,'Claim Amount'!$B$3:$J$24,7,FALSE),I26*VLOOKUP(H26,'Claim Amount'!$B$3:$J$24,6,FALSE))</f>
        <v>#N/A</v>
      </c>
      <c r="K26" s="13" t="e">
        <f t="shared" si="0"/>
        <v>#N/A</v>
      </c>
      <c r="L26" t="e" cm="1">
        <f t="array" ref="L26">IF(K26=0,"",[1]!SPELLNUMBER(K26))</f>
        <v>#N/A</v>
      </c>
    </row>
    <row r="27" spans="1:12" ht="17.45" customHeight="1" x14ac:dyDescent="0.25">
      <c r="A27" s="13" t="s">
        <v>73</v>
      </c>
      <c r="B27" s="13" t="s">
        <v>123</v>
      </c>
      <c r="C27" s="13">
        <f>'Paste here'!AH27</f>
        <v>0</v>
      </c>
      <c r="D27" s="61">
        <f>'Paste here'!AI27</f>
        <v>0</v>
      </c>
      <c r="E27" s="13" t="s">
        <v>47</v>
      </c>
      <c r="F27" s="61">
        <f>'Paste here'!E27</f>
        <v>0</v>
      </c>
      <c r="G27" s="13">
        <f>'Paste here'!F27</f>
        <v>0</v>
      </c>
      <c r="H27" s="13">
        <f>'Paste here'!G27</f>
        <v>0</v>
      </c>
      <c r="I27" s="13">
        <f>'Paste here'!M27</f>
        <v>0</v>
      </c>
      <c r="J27" s="13" t="e">
        <f>IF(I27*VLOOKUP(H27,'Claim Amount'!$B$3:$J$24,6,FALSE)&lt;VLOOKUP(H27,'Claim Amount'!$B$3:$J$24,7,FALSE),VLOOKUP(H27,'Claim Amount'!$B$3:$J$24,7,FALSE),I27*VLOOKUP(H27,'Claim Amount'!$B$3:$J$24,6,FALSE))</f>
        <v>#N/A</v>
      </c>
      <c r="K27" s="13" t="e">
        <f t="shared" si="0"/>
        <v>#N/A</v>
      </c>
      <c r="L27" t="e" cm="1">
        <f t="array" ref="L27">IF(K27=0,"",[1]!SPELLNUMBER(K27))</f>
        <v>#N/A</v>
      </c>
    </row>
    <row r="28" spans="1:12" ht="17.45" customHeight="1" x14ac:dyDescent="0.25">
      <c r="A28" s="13" t="s">
        <v>74</v>
      </c>
      <c r="B28" s="13" t="s">
        <v>123</v>
      </c>
      <c r="C28" s="13">
        <f>'Paste here'!AH28</f>
        <v>0</v>
      </c>
      <c r="D28" s="61">
        <f>'Paste here'!AI28</f>
        <v>0</v>
      </c>
      <c r="E28" s="13" t="s">
        <v>47</v>
      </c>
      <c r="F28" s="61">
        <f>'Paste here'!E28</f>
        <v>0</v>
      </c>
      <c r="G28" s="13">
        <f>'Paste here'!F28</f>
        <v>0</v>
      </c>
      <c r="H28" s="13">
        <f>'Paste here'!G28</f>
        <v>0</v>
      </c>
      <c r="I28" s="13">
        <f>'Paste here'!M28</f>
        <v>0</v>
      </c>
      <c r="J28" s="13" t="e">
        <f>IF(I28*VLOOKUP(H28,'Claim Amount'!$B$3:$J$24,6,FALSE)&lt;VLOOKUP(H28,'Claim Amount'!$B$3:$J$24,7,FALSE),VLOOKUP(H28,'Claim Amount'!$B$3:$J$24,7,FALSE),I28*VLOOKUP(H28,'Claim Amount'!$B$3:$J$24,6,FALSE))</f>
        <v>#N/A</v>
      </c>
      <c r="K28" s="13" t="e">
        <f t="shared" si="0"/>
        <v>#N/A</v>
      </c>
      <c r="L28" t="e" cm="1">
        <f t="array" ref="L28">IF(K28=0,"",[1]!SPELLNUMBER(K28))</f>
        <v>#N/A</v>
      </c>
    </row>
    <row r="29" spans="1:12" ht="17.45" customHeight="1" x14ac:dyDescent="0.25">
      <c r="A29" s="13" t="s">
        <v>75</v>
      </c>
      <c r="B29" s="13" t="s">
        <v>123</v>
      </c>
      <c r="C29" s="13">
        <f>'Paste here'!AH29</f>
        <v>0</v>
      </c>
      <c r="D29" s="61">
        <f>'Paste here'!AI29</f>
        <v>0</v>
      </c>
      <c r="E29" s="13" t="s">
        <v>47</v>
      </c>
      <c r="F29" s="61">
        <f>'Paste here'!E29</f>
        <v>0</v>
      </c>
      <c r="G29" s="13">
        <f>'Paste here'!F29</f>
        <v>0</v>
      </c>
      <c r="H29" s="13">
        <f>'Paste here'!G29</f>
        <v>0</v>
      </c>
      <c r="I29" s="13">
        <f>'Paste here'!M29</f>
        <v>0</v>
      </c>
      <c r="J29" s="13" t="e">
        <f>IF(I29*VLOOKUP(H29,'Claim Amount'!$B$3:$J$24,6,FALSE)&lt;VLOOKUP(H29,'Claim Amount'!$B$3:$J$24,7,FALSE),VLOOKUP(H29,'Claim Amount'!$B$3:$J$24,7,FALSE),I29*VLOOKUP(H29,'Claim Amount'!$B$3:$J$24,6,FALSE))</f>
        <v>#N/A</v>
      </c>
      <c r="K29" s="13" t="e">
        <f t="shared" si="0"/>
        <v>#N/A</v>
      </c>
      <c r="L29" t="e" cm="1">
        <f t="array" ref="L29">IF(K29=0,"",[1]!SPELLNUMBER(K29))</f>
        <v>#N/A</v>
      </c>
    </row>
    <row r="30" spans="1:12" ht="17.45" customHeight="1" x14ac:dyDescent="0.25">
      <c r="A30" s="13" t="s">
        <v>76</v>
      </c>
      <c r="B30" s="13" t="s">
        <v>123</v>
      </c>
      <c r="C30" s="13">
        <f>'Paste here'!AH30</f>
        <v>0</v>
      </c>
      <c r="D30" s="61">
        <f>'Paste here'!AI30</f>
        <v>0</v>
      </c>
      <c r="E30" s="13" t="s">
        <v>47</v>
      </c>
      <c r="F30" s="61">
        <f>'Paste here'!E30</f>
        <v>0</v>
      </c>
      <c r="G30" s="13">
        <f>'Paste here'!F30</f>
        <v>0</v>
      </c>
      <c r="H30" s="13">
        <f>'Paste here'!G30</f>
        <v>0</v>
      </c>
      <c r="I30" s="13">
        <f>'Paste here'!M30</f>
        <v>0</v>
      </c>
      <c r="J30" s="13" t="e">
        <f>IF(I30*VLOOKUP(H30,'Claim Amount'!$B$3:$J$24,6,FALSE)&lt;VLOOKUP(H30,'Claim Amount'!$B$3:$J$24,7,FALSE),VLOOKUP(H30,'Claim Amount'!$B$3:$J$24,7,FALSE),I30*VLOOKUP(H30,'Claim Amount'!$B$3:$J$24,6,FALSE))</f>
        <v>#N/A</v>
      </c>
      <c r="K30" s="13" t="e">
        <f t="shared" si="0"/>
        <v>#N/A</v>
      </c>
      <c r="L30" t="e" cm="1">
        <f t="array" ref="L30">IF(K30=0,"",[1]!SPELLNUMBER(K30))</f>
        <v>#N/A</v>
      </c>
    </row>
    <row r="31" spans="1:12" ht="17.45" customHeight="1" x14ac:dyDescent="0.25">
      <c r="A31" s="13" t="s">
        <v>77</v>
      </c>
      <c r="B31" s="13" t="s">
        <v>123</v>
      </c>
      <c r="C31" s="13">
        <f>'Paste here'!AH31</f>
        <v>0</v>
      </c>
      <c r="D31" s="61">
        <f>'Paste here'!AI31</f>
        <v>0</v>
      </c>
      <c r="E31" s="13" t="s">
        <v>47</v>
      </c>
      <c r="F31" s="61">
        <f>'Paste here'!E31</f>
        <v>0</v>
      </c>
      <c r="G31" s="13">
        <f>'Paste here'!F31</f>
        <v>0</v>
      </c>
      <c r="H31" s="13">
        <f>'Paste here'!G31</f>
        <v>0</v>
      </c>
      <c r="I31" s="13">
        <f>'Paste here'!M31</f>
        <v>0</v>
      </c>
      <c r="J31" s="13" t="e">
        <f>IF(I31*VLOOKUP(H31,'Claim Amount'!$B$3:$J$24,6,FALSE)&lt;VLOOKUP(H31,'Claim Amount'!$B$3:$J$24,7,FALSE),VLOOKUP(H31,'Claim Amount'!$B$3:$J$24,7,FALSE),I31*VLOOKUP(H31,'Claim Amount'!$B$3:$J$24,6,FALSE))</f>
        <v>#N/A</v>
      </c>
      <c r="K31" s="13" t="e">
        <f t="shared" si="0"/>
        <v>#N/A</v>
      </c>
      <c r="L31" t="e" cm="1">
        <f t="array" ref="L31">IF(K31=0,"",[1]!SPELLNUMBER(K31))</f>
        <v>#N/A</v>
      </c>
    </row>
    <row r="32" spans="1:12" ht="17.45" customHeight="1" x14ac:dyDescent="0.25">
      <c r="A32" s="13" t="s">
        <v>80</v>
      </c>
      <c r="B32" s="13" t="s">
        <v>123</v>
      </c>
      <c r="C32" s="13">
        <f>'Paste here'!AH32</f>
        <v>0</v>
      </c>
      <c r="D32" s="61">
        <f>'Paste here'!AI32</f>
        <v>0</v>
      </c>
      <c r="E32" s="13" t="s">
        <v>47</v>
      </c>
      <c r="F32" s="61">
        <f>'Paste here'!E32</f>
        <v>0</v>
      </c>
      <c r="G32" s="13">
        <f>'Paste here'!F32</f>
        <v>0</v>
      </c>
      <c r="H32" s="13">
        <f>'Paste here'!G32</f>
        <v>0</v>
      </c>
      <c r="I32" s="13">
        <f>'Paste here'!M32</f>
        <v>0</v>
      </c>
      <c r="J32" s="13" t="e">
        <f>IF(I32*VLOOKUP(H32,'Claim Amount'!$B$3:$J$24,6,FALSE)&lt;VLOOKUP(H32,'Claim Amount'!$B$3:$J$24,7,FALSE),VLOOKUP(H32,'Claim Amount'!$B$3:$J$24,7,FALSE),I32*VLOOKUP(H32,'Claim Amount'!$B$3:$J$24,6,FALSE))</f>
        <v>#N/A</v>
      </c>
      <c r="K32" s="13" t="e">
        <f t="shared" si="0"/>
        <v>#N/A</v>
      </c>
      <c r="L32" t="e" cm="1">
        <f t="array" ref="L32">IF(K32=0,"",[1]!SPELLNUMBER(K32))</f>
        <v>#N/A</v>
      </c>
    </row>
    <row r="33" spans="1:12" ht="17.45" customHeight="1" x14ac:dyDescent="0.25">
      <c r="A33" s="13" t="s">
        <v>81</v>
      </c>
      <c r="B33" s="13" t="s">
        <v>123</v>
      </c>
      <c r="C33" s="13">
        <f>'Paste here'!AH33</f>
        <v>0</v>
      </c>
      <c r="D33" s="61">
        <f>'Paste here'!AI33</f>
        <v>0</v>
      </c>
      <c r="E33" s="13" t="s">
        <v>47</v>
      </c>
      <c r="F33" s="61">
        <f>'Paste here'!E33</f>
        <v>0</v>
      </c>
      <c r="G33" s="13">
        <f>'Paste here'!F33</f>
        <v>0</v>
      </c>
      <c r="H33" s="13">
        <f>'Paste here'!G33</f>
        <v>0</v>
      </c>
      <c r="I33" s="13">
        <f>'Paste here'!M33</f>
        <v>0</v>
      </c>
      <c r="J33" s="13" t="e">
        <f>IF(I33*VLOOKUP(H33,'Claim Amount'!$B$3:$J$24,6,FALSE)&lt;VLOOKUP(H33,'Claim Amount'!$B$3:$J$24,7,FALSE),VLOOKUP(H33,'Claim Amount'!$B$3:$J$24,7,FALSE),I33*VLOOKUP(H33,'Claim Amount'!$B$3:$J$24,6,FALSE))</f>
        <v>#N/A</v>
      </c>
      <c r="K33" s="13" t="e">
        <f t="shared" si="0"/>
        <v>#N/A</v>
      </c>
      <c r="L33" t="e" cm="1">
        <f t="array" ref="L33">IF(K33=0,"",[1]!SPELLNUMBER(K33))</f>
        <v>#N/A</v>
      </c>
    </row>
    <row r="34" spans="1:12" ht="17.45" customHeight="1" x14ac:dyDescent="0.25">
      <c r="A34" s="13" t="s">
        <v>82</v>
      </c>
      <c r="B34" s="13" t="s">
        <v>123</v>
      </c>
      <c r="C34" s="13">
        <f>'Paste here'!AH34</f>
        <v>0</v>
      </c>
      <c r="D34" s="61">
        <f>'Paste here'!AI34</f>
        <v>0</v>
      </c>
      <c r="E34" s="13" t="s">
        <v>47</v>
      </c>
      <c r="F34" s="61">
        <f>'Paste here'!E34</f>
        <v>0</v>
      </c>
      <c r="G34" s="13">
        <f>'Paste here'!F34</f>
        <v>0</v>
      </c>
      <c r="H34" s="13">
        <f>'Paste here'!G34</f>
        <v>0</v>
      </c>
      <c r="I34" s="13">
        <f>'Paste here'!M34</f>
        <v>0</v>
      </c>
      <c r="J34" s="13" t="e">
        <f>IF(I34*VLOOKUP(H34,'Claim Amount'!$B$3:$J$24,6,FALSE)&lt;VLOOKUP(H34,'Claim Amount'!$B$3:$J$24,7,FALSE),VLOOKUP(H34,'Claim Amount'!$B$3:$J$24,7,FALSE),I34*VLOOKUP(H34,'Claim Amount'!$B$3:$J$24,6,FALSE))</f>
        <v>#N/A</v>
      </c>
      <c r="K34" s="13" t="e">
        <f t="shared" si="0"/>
        <v>#N/A</v>
      </c>
      <c r="L34" t="e" cm="1">
        <f t="array" ref="L34">IF(K34=0,"",[1]!SPELLNUMBER(K34))</f>
        <v>#N/A</v>
      </c>
    </row>
    <row r="35" spans="1:12" ht="17.45" customHeight="1" x14ac:dyDescent="0.25">
      <c r="A35" s="13" t="s">
        <v>83</v>
      </c>
      <c r="B35" s="13" t="s">
        <v>123</v>
      </c>
      <c r="C35" s="13">
        <f>'Paste here'!AH35</f>
        <v>0</v>
      </c>
      <c r="D35" s="61">
        <f>'Paste here'!AI35</f>
        <v>0</v>
      </c>
      <c r="E35" s="13" t="s">
        <v>47</v>
      </c>
      <c r="F35" s="61">
        <f>'Paste here'!E35</f>
        <v>0</v>
      </c>
      <c r="G35" s="13">
        <f>'Paste here'!F35</f>
        <v>0</v>
      </c>
      <c r="H35" s="13">
        <f>'Paste here'!G35</f>
        <v>0</v>
      </c>
      <c r="I35" s="13">
        <f>'Paste here'!M35</f>
        <v>0</v>
      </c>
      <c r="J35" s="13" t="e">
        <f>IF(I35*VLOOKUP(H35,'Claim Amount'!$B$3:$J$24,6,FALSE)&lt;VLOOKUP(H35,'Claim Amount'!$B$3:$J$24,7,FALSE),VLOOKUP(H35,'Claim Amount'!$B$3:$J$24,7,FALSE),I35*VLOOKUP(H35,'Claim Amount'!$B$3:$J$24,6,FALSE))</f>
        <v>#N/A</v>
      </c>
      <c r="K35" s="13" t="e">
        <f t="shared" si="0"/>
        <v>#N/A</v>
      </c>
      <c r="L35" t="e" cm="1">
        <f t="array" ref="L35">IF(K35=0,"",[1]!SPELLNUMBER(K35))</f>
        <v>#N/A</v>
      </c>
    </row>
    <row r="36" spans="1:12" ht="17.45" customHeight="1" x14ac:dyDescent="0.25">
      <c r="A36" s="13" t="s">
        <v>84</v>
      </c>
      <c r="B36" s="13" t="s">
        <v>123</v>
      </c>
      <c r="C36" s="13">
        <f>'Paste here'!AH36</f>
        <v>0</v>
      </c>
      <c r="D36" s="61">
        <f>'Paste here'!AI36</f>
        <v>0</v>
      </c>
      <c r="E36" s="13" t="s">
        <v>47</v>
      </c>
      <c r="F36" s="61">
        <f>'Paste here'!E36</f>
        <v>0</v>
      </c>
      <c r="G36" s="13">
        <f>'Paste here'!F36</f>
        <v>0</v>
      </c>
      <c r="H36" s="13">
        <f>'Paste here'!G36</f>
        <v>0</v>
      </c>
      <c r="I36" s="13">
        <f>'Paste here'!M36</f>
        <v>0</v>
      </c>
      <c r="J36" s="13" t="e">
        <f>IF(I36*VLOOKUP(H36,'Claim Amount'!$B$3:$J$24,6,FALSE)&lt;VLOOKUP(H36,'Claim Amount'!$B$3:$J$24,7,FALSE),VLOOKUP(H36,'Claim Amount'!$B$3:$J$24,7,FALSE),I36*VLOOKUP(H36,'Claim Amount'!$B$3:$J$24,6,FALSE))</f>
        <v>#N/A</v>
      </c>
      <c r="K36" s="13" t="e">
        <f t="shared" si="0"/>
        <v>#N/A</v>
      </c>
      <c r="L36" t="e" cm="1">
        <f t="array" ref="L36">IF(K36=0,"",[1]!SPELLNUMBER(K36))</f>
        <v>#N/A</v>
      </c>
    </row>
    <row r="37" spans="1:12" ht="17.45" customHeight="1" x14ac:dyDescent="0.25">
      <c r="A37" s="13" t="s">
        <v>85</v>
      </c>
      <c r="B37" s="13" t="s">
        <v>123</v>
      </c>
      <c r="C37" s="13">
        <f>'Paste here'!AH37</f>
        <v>0</v>
      </c>
      <c r="D37" s="61">
        <f>'Paste here'!AI37</f>
        <v>0</v>
      </c>
      <c r="E37" s="13" t="s">
        <v>47</v>
      </c>
      <c r="F37" s="61">
        <f>'Paste here'!E37</f>
        <v>0</v>
      </c>
      <c r="G37" s="13">
        <f>'Paste here'!F37</f>
        <v>0</v>
      </c>
      <c r="H37" s="13">
        <f>'Paste here'!G37</f>
        <v>0</v>
      </c>
      <c r="I37" s="13">
        <f>'Paste here'!M37</f>
        <v>0</v>
      </c>
      <c r="J37" s="13" t="e">
        <f>IF(I37*VLOOKUP(H37,'Claim Amount'!$B$3:$J$24,6,FALSE)&lt;VLOOKUP(H37,'Claim Amount'!$B$3:$J$24,7,FALSE),VLOOKUP(H37,'Claim Amount'!$B$3:$J$24,7,FALSE),I37*VLOOKUP(H37,'Claim Amount'!$B$3:$J$24,6,FALSE))</f>
        <v>#N/A</v>
      </c>
      <c r="K37" s="13" t="e">
        <f t="shared" si="0"/>
        <v>#N/A</v>
      </c>
      <c r="L37" t="e" cm="1">
        <f t="array" ref="L37">IF(K37=0,"",[1]!SPELLNUMBER(K37))</f>
        <v>#N/A</v>
      </c>
    </row>
    <row r="38" spans="1:12" ht="17.45" customHeight="1" x14ac:dyDescent="0.25">
      <c r="A38" s="13" t="s">
        <v>86</v>
      </c>
      <c r="B38" s="13" t="s">
        <v>123</v>
      </c>
      <c r="C38" s="13">
        <f>'Paste here'!AH38</f>
        <v>0</v>
      </c>
      <c r="D38" s="61">
        <f>'Paste here'!AI38</f>
        <v>0</v>
      </c>
      <c r="E38" s="13" t="s">
        <v>47</v>
      </c>
      <c r="F38" s="61">
        <f>'Paste here'!E38</f>
        <v>0</v>
      </c>
      <c r="G38" s="13">
        <f>'Paste here'!F38</f>
        <v>0</v>
      </c>
      <c r="H38" s="13">
        <f>'Paste here'!G38</f>
        <v>0</v>
      </c>
      <c r="I38" s="13">
        <f>'Paste here'!M38</f>
        <v>0</v>
      </c>
      <c r="J38" s="13" t="e">
        <f>IF(I38*VLOOKUP(H38,'Claim Amount'!$B$3:$J$24,6,FALSE)&lt;VLOOKUP(H38,'Claim Amount'!$B$3:$J$24,7,FALSE),VLOOKUP(H38,'Claim Amount'!$B$3:$J$24,7,FALSE),I38*VLOOKUP(H38,'Claim Amount'!$B$3:$J$24,6,FALSE))</f>
        <v>#N/A</v>
      </c>
      <c r="K38" s="13" t="e">
        <f t="shared" si="0"/>
        <v>#N/A</v>
      </c>
      <c r="L38" t="e" cm="1">
        <f t="array" ref="L38">IF(K38=0,"",[1]!SPELLNUMBER(K38))</f>
        <v>#N/A</v>
      </c>
    </row>
    <row r="39" spans="1:12" ht="17.45" customHeight="1" x14ac:dyDescent="0.25">
      <c r="A39" s="13" t="s">
        <v>87</v>
      </c>
      <c r="B39" s="13" t="s">
        <v>123</v>
      </c>
      <c r="C39" s="13">
        <f>'Paste here'!AH39</f>
        <v>0</v>
      </c>
      <c r="D39" s="61">
        <f>'Paste here'!AI39</f>
        <v>0</v>
      </c>
      <c r="E39" s="13" t="s">
        <v>47</v>
      </c>
      <c r="F39" s="61">
        <f>'Paste here'!E39</f>
        <v>0</v>
      </c>
      <c r="G39" s="13">
        <f>'Paste here'!F39</f>
        <v>0</v>
      </c>
      <c r="H39" s="13">
        <f>'Paste here'!G39</f>
        <v>0</v>
      </c>
      <c r="I39" s="13">
        <f>'Paste here'!M39</f>
        <v>0</v>
      </c>
      <c r="J39" s="13" t="e">
        <f>IF(I39*VLOOKUP(H39,'Claim Amount'!$B$3:$J$24,6,FALSE)&lt;VLOOKUP(H39,'Claim Amount'!$B$3:$J$24,7,FALSE),VLOOKUP(H39,'Claim Amount'!$B$3:$J$24,7,FALSE),I39*VLOOKUP(H39,'Claim Amount'!$B$3:$J$24,6,FALSE))</f>
        <v>#N/A</v>
      </c>
      <c r="K39" s="13" t="e">
        <f t="shared" si="0"/>
        <v>#N/A</v>
      </c>
      <c r="L39" t="e" cm="1">
        <f t="array" ref="L39">IF(K39=0,"",[1]!SPELLNUMBER(K39))</f>
        <v>#N/A</v>
      </c>
    </row>
    <row r="40" spans="1:12" ht="17.45" customHeight="1" x14ac:dyDescent="0.25">
      <c r="A40" s="13" t="s">
        <v>88</v>
      </c>
      <c r="B40" s="13" t="s">
        <v>123</v>
      </c>
      <c r="C40" s="13">
        <f>'Paste here'!AH40</f>
        <v>0</v>
      </c>
      <c r="D40" s="61">
        <f>'Paste here'!AI40</f>
        <v>0</v>
      </c>
      <c r="E40" s="13" t="s">
        <v>47</v>
      </c>
      <c r="F40" s="61">
        <f>'Paste here'!E40</f>
        <v>0</v>
      </c>
      <c r="G40" s="13">
        <f>'Paste here'!F40</f>
        <v>0</v>
      </c>
      <c r="H40" s="13">
        <f>'Paste here'!G40</f>
        <v>0</v>
      </c>
      <c r="I40" s="13">
        <f>'Paste here'!M40</f>
        <v>0</v>
      </c>
      <c r="J40" s="13" t="e">
        <f>IF(I40*VLOOKUP(H40,'Claim Amount'!$B$3:$J$24,6,FALSE)&lt;VLOOKUP(H40,'Claim Amount'!$B$3:$J$24,7,FALSE),VLOOKUP(H40,'Claim Amount'!$B$3:$J$24,7,FALSE),I40*VLOOKUP(H40,'Claim Amount'!$B$3:$J$24,6,FALSE))</f>
        <v>#N/A</v>
      </c>
      <c r="K40" s="13" t="e">
        <f t="shared" si="0"/>
        <v>#N/A</v>
      </c>
      <c r="L40" t="e" cm="1">
        <f t="array" ref="L40">IF(K40=0,"",[1]!SPELLNUMBER(K40))</f>
        <v>#N/A</v>
      </c>
    </row>
    <row r="41" spans="1:12" ht="17.45" customHeight="1" x14ac:dyDescent="0.25">
      <c r="A41" s="13" t="s">
        <v>89</v>
      </c>
      <c r="B41" s="13" t="s">
        <v>123</v>
      </c>
      <c r="C41" s="13">
        <f>'Paste here'!AH41</f>
        <v>0</v>
      </c>
      <c r="D41" s="61">
        <f>'Paste here'!AI41</f>
        <v>0</v>
      </c>
      <c r="E41" s="13" t="s">
        <v>47</v>
      </c>
      <c r="F41" s="61">
        <f>'Paste here'!E41</f>
        <v>0</v>
      </c>
      <c r="G41" s="13">
        <f>'Paste here'!F41</f>
        <v>0</v>
      </c>
      <c r="H41" s="13">
        <f>'Paste here'!G41</f>
        <v>0</v>
      </c>
      <c r="I41" s="13">
        <f>'Paste here'!M41</f>
        <v>0</v>
      </c>
      <c r="J41" s="13" t="e">
        <f>IF(I41*VLOOKUP(H41,'Claim Amount'!$B$3:$J$24,6,FALSE)&lt;VLOOKUP(H41,'Claim Amount'!$B$3:$J$24,7,FALSE),VLOOKUP(H41,'Claim Amount'!$B$3:$J$24,7,FALSE),I41*VLOOKUP(H41,'Claim Amount'!$B$3:$J$24,6,FALSE))</f>
        <v>#N/A</v>
      </c>
      <c r="K41" s="13" t="e">
        <f t="shared" si="0"/>
        <v>#N/A</v>
      </c>
      <c r="L41" t="e" cm="1">
        <f t="array" ref="L41">IF(K41=0,"",[1]!SPELLNUMBER(K41))</f>
        <v>#N/A</v>
      </c>
    </row>
    <row r="42" spans="1:12" ht="17.45" customHeight="1" x14ac:dyDescent="0.25">
      <c r="A42" s="13" t="s">
        <v>90</v>
      </c>
      <c r="B42" s="13" t="s">
        <v>123</v>
      </c>
      <c r="C42" s="13">
        <f>'Paste here'!AH42</f>
        <v>0</v>
      </c>
      <c r="D42" s="61">
        <f>'Paste here'!AI42</f>
        <v>0</v>
      </c>
      <c r="E42" s="13" t="s">
        <v>47</v>
      </c>
      <c r="F42" s="61">
        <f>'Paste here'!E42</f>
        <v>0</v>
      </c>
      <c r="G42" s="13">
        <f>'Paste here'!F42</f>
        <v>0</v>
      </c>
      <c r="H42" s="13">
        <f>'Paste here'!G42</f>
        <v>0</v>
      </c>
      <c r="I42" s="13">
        <f>'Paste here'!M42</f>
        <v>0</v>
      </c>
      <c r="J42" s="13" t="e">
        <f>IF(I42*VLOOKUP(H42,'Claim Amount'!$B$3:$J$24,6,FALSE)&lt;VLOOKUP(H42,'Claim Amount'!$B$3:$J$24,7,FALSE),VLOOKUP(H42,'Claim Amount'!$B$3:$J$24,7,FALSE),I42*VLOOKUP(H42,'Claim Amount'!$B$3:$J$24,6,FALSE))</f>
        <v>#N/A</v>
      </c>
      <c r="K42" s="13" t="e">
        <f t="shared" si="0"/>
        <v>#N/A</v>
      </c>
      <c r="L42" t="e" cm="1">
        <f t="array" ref="L42">IF(K42=0,"",[1]!SPELLNUMBER(K42))</f>
        <v>#N/A</v>
      </c>
    </row>
    <row r="43" spans="1:12" ht="17.45" customHeight="1" x14ac:dyDescent="0.25">
      <c r="A43" s="13" t="s">
        <v>91</v>
      </c>
      <c r="B43" s="13" t="s">
        <v>123</v>
      </c>
      <c r="C43" s="13">
        <f>'Paste here'!AH43</f>
        <v>0</v>
      </c>
      <c r="D43" s="61">
        <f>'Paste here'!AI43</f>
        <v>0</v>
      </c>
      <c r="E43" s="13" t="s">
        <v>47</v>
      </c>
      <c r="F43" s="61">
        <f>'Paste here'!E43</f>
        <v>0</v>
      </c>
      <c r="G43" s="13">
        <f>'Paste here'!F43</f>
        <v>0</v>
      </c>
      <c r="H43" s="13">
        <f>'Paste here'!G43</f>
        <v>0</v>
      </c>
      <c r="I43" s="13">
        <f>'Paste here'!M43</f>
        <v>0</v>
      </c>
      <c r="J43" s="13" t="e">
        <f>IF(I43*VLOOKUP(H43,'Claim Amount'!$B$3:$J$24,6,FALSE)&lt;VLOOKUP(H43,'Claim Amount'!$B$3:$J$24,7,FALSE),VLOOKUP(H43,'Claim Amount'!$B$3:$J$24,7,FALSE),I43*VLOOKUP(H43,'Claim Amount'!$B$3:$J$24,6,FALSE))</f>
        <v>#N/A</v>
      </c>
      <c r="K43" s="13" t="e">
        <f t="shared" si="0"/>
        <v>#N/A</v>
      </c>
      <c r="L43" t="e" cm="1">
        <f t="array" ref="L43">IF(K43=0,"",[1]!SPELLNUMBER(K43))</f>
        <v>#N/A</v>
      </c>
    </row>
    <row r="44" spans="1:12" ht="17.45" customHeight="1" x14ac:dyDescent="0.25">
      <c r="A44" s="13" t="s">
        <v>92</v>
      </c>
      <c r="B44" s="13" t="s">
        <v>123</v>
      </c>
      <c r="C44" s="13">
        <f>'Paste here'!AH44</f>
        <v>0</v>
      </c>
      <c r="D44" s="61">
        <f>'Paste here'!AI44</f>
        <v>0</v>
      </c>
      <c r="E44" s="13" t="s">
        <v>47</v>
      </c>
      <c r="F44" s="61">
        <f>'Paste here'!E44</f>
        <v>0</v>
      </c>
      <c r="G44" s="13">
        <f>'Paste here'!F44</f>
        <v>0</v>
      </c>
      <c r="H44" s="13">
        <f>'Paste here'!G44</f>
        <v>0</v>
      </c>
      <c r="I44" s="13">
        <f>'Paste here'!M44</f>
        <v>0</v>
      </c>
      <c r="J44" s="13" t="e">
        <f>IF(I44*VLOOKUP(H44,'Claim Amount'!$B$3:$J$24,6,FALSE)&lt;VLOOKUP(H44,'Claim Amount'!$B$3:$J$24,7,FALSE),VLOOKUP(H44,'Claim Amount'!$B$3:$J$24,7,FALSE),I44*VLOOKUP(H44,'Claim Amount'!$B$3:$J$24,6,FALSE))</f>
        <v>#N/A</v>
      </c>
      <c r="K44" s="13" t="e">
        <f t="shared" si="0"/>
        <v>#N/A</v>
      </c>
      <c r="L44" t="e" cm="1">
        <f t="array" ref="L44">IF(K44=0,"",[1]!SPELLNUMBER(K44))</f>
        <v>#N/A</v>
      </c>
    </row>
    <row r="45" spans="1:12" ht="17.45" customHeight="1" x14ac:dyDescent="0.25">
      <c r="A45" s="13" t="s">
        <v>93</v>
      </c>
      <c r="B45" s="13" t="s">
        <v>123</v>
      </c>
      <c r="C45" s="13">
        <f>'Paste here'!AH45</f>
        <v>0</v>
      </c>
      <c r="D45" s="61">
        <f>'Paste here'!AI45</f>
        <v>0</v>
      </c>
      <c r="E45" s="13" t="s">
        <v>47</v>
      </c>
      <c r="F45" s="61">
        <f>'Paste here'!E45</f>
        <v>0</v>
      </c>
      <c r="G45" s="13">
        <f>'Paste here'!F45</f>
        <v>0</v>
      </c>
      <c r="H45" s="13">
        <f>'Paste here'!G45</f>
        <v>0</v>
      </c>
      <c r="I45" s="13">
        <f>'Paste here'!M45</f>
        <v>0</v>
      </c>
      <c r="J45" s="13" t="e">
        <f>IF(I45*VLOOKUP(H45,'Claim Amount'!$B$3:$J$24,6,FALSE)&lt;VLOOKUP(H45,'Claim Amount'!$B$3:$J$24,7,FALSE),VLOOKUP(H45,'Claim Amount'!$B$3:$J$24,7,FALSE),I45*VLOOKUP(H45,'Claim Amount'!$B$3:$J$24,6,FALSE))</f>
        <v>#N/A</v>
      </c>
      <c r="K45" s="13" t="e">
        <f t="shared" si="0"/>
        <v>#N/A</v>
      </c>
      <c r="L45" t="e" cm="1">
        <f t="array" ref="L45">IF(K45=0,"",[1]!SPELLNUMBER(K45))</f>
        <v>#N/A</v>
      </c>
    </row>
    <row r="46" spans="1:12" ht="17.45" customHeight="1" x14ac:dyDescent="0.25">
      <c r="A46" s="13" t="s">
        <v>94</v>
      </c>
      <c r="B46" s="13" t="s">
        <v>123</v>
      </c>
      <c r="C46" s="13">
        <f>'Paste here'!AH46</f>
        <v>0</v>
      </c>
      <c r="D46" s="61">
        <f>'Paste here'!AI46</f>
        <v>0</v>
      </c>
      <c r="E46" s="13" t="s">
        <v>47</v>
      </c>
      <c r="F46" s="61">
        <f>'Paste here'!E46</f>
        <v>0</v>
      </c>
      <c r="G46" s="13">
        <f>'Paste here'!F46</f>
        <v>0</v>
      </c>
      <c r="H46" s="13">
        <f>'Paste here'!G46</f>
        <v>0</v>
      </c>
      <c r="I46" s="13">
        <f>'Paste here'!M46</f>
        <v>0</v>
      </c>
      <c r="J46" s="13" t="e">
        <f>IF(I46*VLOOKUP(H46,'Claim Amount'!$B$3:$J$24,6,FALSE)&lt;VLOOKUP(H46,'Claim Amount'!$B$3:$J$24,7,FALSE),VLOOKUP(H46,'Claim Amount'!$B$3:$J$24,7,FALSE),I46*VLOOKUP(H46,'Claim Amount'!$B$3:$J$24,6,FALSE))</f>
        <v>#N/A</v>
      </c>
      <c r="K46" s="13" t="e">
        <f t="shared" si="0"/>
        <v>#N/A</v>
      </c>
      <c r="L46" t="e" cm="1">
        <f t="array" ref="L46">IF(K46=0,"",[1]!SPELLNUMBER(K46))</f>
        <v>#N/A</v>
      </c>
    </row>
    <row r="47" spans="1:12" ht="17.45" customHeight="1" x14ac:dyDescent="0.25">
      <c r="A47" s="13" t="s">
        <v>95</v>
      </c>
      <c r="B47" s="13" t="s">
        <v>123</v>
      </c>
      <c r="C47" s="13">
        <f>'Paste here'!AH47</f>
        <v>0</v>
      </c>
      <c r="D47" s="61">
        <f>'Paste here'!AI47</f>
        <v>0</v>
      </c>
      <c r="E47" s="13" t="s">
        <v>47</v>
      </c>
      <c r="F47" s="61">
        <f>'Paste here'!E47</f>
        <v>0</v>
      </c>
      <c r="G47" s="13">
        <f>'Paste here'!F47</f>
        <v>0</v>
      </c>
      <c r="H47" s="13">
        <f>'Paste here'!G47</f>
        <v>0</v>
      </c>
      <c r="I47" s="13">
        <f>'Paste here'!M47</f>
        <v>0</v>
      </c>
      <c r="J47" s="13" t="e">
        <f>IF(I47*VLOOKUP(H47,'Claim Amount'!$B$3:$J$24,6,FALSE)&lt;VLOOKUP(H47,'Claim Amount'!$B$3:$J$24,7,FALSE),VLOOKUP(H47,'Claim Amount'!$B$3:$J$24,7,FALSE),I47*VLOOKUP(H47,'Claim Amount'!$B$3:$J$24,6,FALSE))</f>
        <v>#N/A</v>
      </c>
      <c r="K47" s="13" t="e">
        <f t="shared" si="0"/>
        <v>#N/A</v>
      </c>
      <c r="L47" t="e" cm="1">
        <f t="array" ref="L47">IF(K47=0,"",[1]!SPELLNUMBER(K47))</f>
        <v>#N/A</v>
      </c>
    </row>
    <row r="48" spans="1:12" ht="17.45" customHeight="1" x14ac:dyDescent="0.25">
      <c r="A48" s="13" t="s">
        <v>96</v>
      </c>
      <c r="B48" s="13" t="s">
        <v>123</v>
      </c>
      <c r="C48" s="13">
        <f>'Paste here'!AH48</f>
        <v>0</v>
      </c>
      <c r="D48" s="61">
        <f>'Paste here'!AI48</f>
        <v>0</v>
      </c>
      <c r="E48" s="13" t="s">
        <v>47</v>
      </c>
      <c r="F48" s="61">
        <f>'Paste here'!E48</f>
        <v>0</v>
      </c>
      <c r="G48" s="13">
        <f>'Paste here'!F48</f>
        <v>0</v>
      </c>
      <c r="H48" s="13">
        <f>'Paste here'!G48</f>
        <v>0</v>
      </c>
      <c r="I48" s="13">
        <f>'Paste here'!M48</f>
        <v>0</v>
      </c>
      <c r="J48" s="13" t="e">
        <f>IF(I48*VLOOKUP(H48,'Claim Amount'!$B$3:$J$24,6,FALSE)&lt;VLOOKUP(H48,'Claim Amount'!$B$3:$J$24,7,FALSE),VLOOKUP(H48,'Claim Amount'!$B$3:$J$24,7,FALSE),I48*VLOOKUP(H48,'Claim Amount'!$B$3:$J$24,6,FALSE))</f>
        <v>#N/A</v>
      </c>
      <c r="K48" s="13" t="e">
        <f t="shared" si="0"/>
        <v>#N/A</v>
      </c>
      <c r="L48" t="e" cm="1">
        <f t="array" ref="L48">IF(K48=0,"",[1]!SPELLNUMBER(K48))</f>
        <v>#N/A</v>
      </c>
    </row>
    <row r="49" spans="1:12" ht="17.45" customHeight="1" x14ac:dyDescent="0.25">
      <c r="A49" s="13" t="s">
        <v>97</v>
      </c>
      <c r="B49" s="13" t="s">
        <v>123</v>
      </c>
      <c r="C49" s="13">
        <f>'Paste here'!AH49</f>
        <v>0</v>
      </c>
      <c r="D49" s="61">
        <f>'Paste here'!AI49</f>
        <v>0</v>
      </c>
      <c r="E49" s="13" t="s">
        <v>47</v>
      </c>
      <c r="F49" s="61">
        <f>'Paste here'!E49</f>
        <v>0</v>
      </c>
      <c r="G49" s="13">
        <f>'Paste here'!F49</f>
        <v>0</v>
      </c>
      <c r="H49" s="13">
        <f>'Paste here'!G49</f>
        <v>0</v>
      </c>
      <c r="I49" s="13">
        <f>'Paste here'!M49</f>
        <v>0</v>
      </c>
      <c r="J49" s="13" t="e">
        <f>IF(I49*VLOOKUP(H49,'Claim Amount'!$B$3:$J$24,6,FALSE)&lt;VLOOKUP(H49,'Claim Amount'!$B$3:$J$24,7,FALSE),VLOOKUP(H49,'Claim Amount'!$B$3:$J$24,7,FALSE),I49*VLOOKUP(H49,'Claim Amount'!$B$3:$J$24,6,FALSE))</f>
        <v>#N/A</v>
      </c>
      <c r="K49" s="13" t="e">
        <f t="shared" si="0"/>
        <v>#N/A</v>
      </c>
      <c r="L49" t="e" cm="1">
        <f t="array" ref="L49">IF(K49=0,"",[1]!SPELLNUMBER(K49))</f>
        <v>#N/A</v>
      </c>
    </row>
    <row r="50" spans="1:12" ht="17.45" customHeight="1" x14ac:dyDescent="0.25">
      <c r="A50" s="13" t="s">
        <v>98</v>
      </c>
      <c r="B50" s="13" t="s">
        <v>123</v>
      </c>
      <c r="C50" s="13">
        <f>'Paste here'!AH50</f>
        <v>0</v>
      </c>
      <c r="D50" s="61">
        <f>'Paste here'!AI50</f>
        <v>0</v>
      </c>
      <c r="E50" s="13" t="s">
        <v>47</v>
      </c>
      <c r="F50" s="61">
        <f>'Paste here'!E50</f>
        <v>0</v>
      </c>
      <c r="G50" s="13">
        <f>'Paste here'!F50</f>
        <v>0</v>
      </c>
      <c r="H50" s="13">
        <f>'Paste here'!G50</f>
        <v>0</v>
      </c>
      <c r="I50" s="13">
        <f>'Paste here'!M50</f>
        <v>0</v>
      </c>
      <c r="J50" s="13" t="e">
        <f>IF(I50*VLOOKUP(H50,'Claim Amount'!$B$3:$J$24,6,FALSE)&lt;VLOOKUP(H50,'Claim Amount'!$B$3:$J$24,7,FALSE),VLOOKUP(H50,'Claim Amount'!$B$3:$J$24,7,FALSE),I50*VLOOKUP(H50,'Claim Amount'!$B$3:$J$24,6,FALSE))</f>
        <v>#N/A</v>
      </c>
      <c r="K50" s="13" t="e">
        <f t="shared" si="0"/>
        <v>#N/A</v>
      </c>
      <c r="L50" t="e" cm="1">
        <f t="array" ref="L50">IF(K50=0,"",[1]!SPELLNUMBER(K50))</f>
        <v>#N/A</v>
      </c>
    </row>
    <row r="51" spans="1:12" ht="17.45" customHeight="1" x14ac:dyDescent="0.25">
      <c r="A51" s="13" t="s">
        <v>99</v>
      </c>
      <c r="B51" s="13" t="s">
        <v>123</v>
      </c>
      <c r="C51" s="13">
        <f>'Paste here'!AH51</f>
        <v>0</v>
      </c>
      <c r="D51" s="61">
        <f>'Paste here'!AI51</f>
        <v>0</v>
      </c>
      <c r="E51" s="13" t="s">
        <v>47</v>
      </c>
      <c r="F51" s="61">
        <f>'Paste here'!E51</f>
        <v>0</v>
      </c>
      <c r="G51" s="13">
        <f>'Paste here'!F51</f>
        <v>0</v>
      </c>
      <c r="H51" s="13">
        <f>'Paste here'!G51</f>
        <v>0</v>
      </c>
      <c r="I51" s="13">
        <f>'Paste here'!M51</f>
        <v>0</v>
      </c>
      <c r="J51" s="13" t="e">
        <f>IF(I51*VLOOKUP(H51,'Claim Amount'!$B$3:$J$24,6,FALSE)&lt;VLOOKUP(H51,'Claim Amount'!$B$3:$J$24,7,FALSE),VLOOKUP(H51,'Claim Amount'!$B$3:$J$24,7,FALSE),I51*VLOOKUP(H51,'Claim Amount'!$B$3:$J$24,6,FALSE))</f>
        <v>#N/A</v>
      </c>
      <c r="K51" s="13" t="e">
        <f t="shared" si="0"/>
        <v>#N/A</v>
      </c>
      <c r="L51" t="e" cm="1">
        <f t="array" ref="L51">IF(K51=0,"",[1]!SPELLNUMBER(K51))</f>
        <v>#N/A</v>
      </c>
    </row>
    <row r="52" spans="1:12" ht="17.45" customHeight="1" x14ac:dyDescent="0.25">
      <c r="A52" s="13" t="s">
        <v>100</v>
      </c>
      <c r="B52" s="13" t="s">
        <v>123</v>
      </c>
      <c r="C52" s="13">
        <f>'Paste here'!AH52</f>
        <v>0</v>
      </c>
      <c r="D52" s="61">
        <f>'Paste here'!AI52</f>
        <v>0</v>
      </c>
      <c r="E52" s="13" t="s">
        <v>47</v>
      </c>
      <c r="F52" s="61">
        <f>'Paste here'!E52</f>
        <v>0</v>
      </c>
      <c r="G52" s="13">
        <f>'Paste here'!F52</f>
        <v>0</v>
      </c>
      <c r="H52" s="13">
        <f>'Paste here'!G52</f>
        <v>0</v>
      </c>
      <c r="I52" s="13">
        <f>'Paste here'!M52</f>
        <v>0</v>
      </c>
      <c r="J52" s="13" t="e">
        <f>IF(I52*VLOOKUP(H52,'Claim Amount'!$B$3:$J$24,6,FALSE)&lt;VLOOKUP(H52,'Claim Amount'!$B$3:$J$24,7,FALSE),VLOOKUP(H52,'Claim Amount'!$B$3:$J$24,7,FALSE),I52*VLOOKUP(H52,'Claim Amount'!$B$3:$J$24,6,FALSE))</f>
        <v>#N/A</v>
      </c>
      <c r="K52" s="13" t="e">
        <f t="shared" si="0"/>
        <v>#N/A</v>
      </c>
      <c r="L52" t="e" cm="1">
        <f t="array" ref="L52">IF(K52=0,"",[1]!SPELLNUMBER(K52))</f>
        <v>#N/A</v>
      </c>
    </row>
    <row r="53" spans="1:12" ht="17.45" customHeight="1" x14ac:dyDescent="0.25">
      <c r="A53" s="13" t="s">
        <v>101</v>
      </c>
      <c r="B53" s="13" t="s">
        <v>123</v>
      </c>
      <c r="C53" s="13">
        <f>'Paste here'!AH53</f>
        <v>0</v>
      </c>
      <c r="D53" s="61">
        <f>'Paste here'!AI53</f>
        <v>0</v>
      </c>
      <c r="E53" s="13" t="s">
        <v>47</v>
      </c>
      <c r="F53" s="61">
        <f>'Paste here'!E53</f>
        <v>0</v>
      </c>
      <c r="G53" s="13">
        <f>'Paste here'!F53</f>
        <v>0</v>
      </c>
      <c r="H53" s="13">
        <f>'Paste here'!G53</f>
        <v>0</v>
      </c>
      <c r="I53" s="13">
        <f>'Paste here'!M53</f>
        <v>0</v>
      </c>
      <c r="J53" s="13" t="e">
        <f>IF(I53*VLOOKUP(H53,'Claim Amount'!$B$3:$J$24,6,FALSE)&lt;VLOOKUP(H53,'Claim Amount'!$B$3:$J$24,7,FALSE),VLOOKUP(H53,'Claim Amount'!$B$3:$J$24,7,FALSE),I53*VLOOKUP(H53,'Claim Amount'!$B$3:$J$24,6,FALSE))</f>
        <v>#N/A</v>
      </c>
      <c r="K53" s="13" t="e">
        <f t="shared" si="0"/>
        <v>#N/A</v>
      </c>
      <c r="L53" t="e" cm="1">
        <f t="array" ref="L53">IF(K53=0,"",[1]!SPELLNUMBER(K53))</f>
        <v>#N/A</v>
      </c>
    </row>
    <row r="54" spans="1:12" ht="17.45" customHeight="1" x14ac:dyDescent="0.25">
      <c r="A54" s="13" t="s">
        <v>102</v>
      </c>
      <c r="B54" s="13" t="s">
        <v>123</v>
      </c>
      <c r="C54" s="13">
        <f>'Paste here'!AH54</f>
        <v>0</v>
      </c>
      <c r="D54" s="61">
        <f>'Paste here'!AI54</f>
        <v>0</v>
      </c>
      <c r="E54" s="13" t="s">
        <v>47</v>
      </c>
      <c r="F54" s="61">
        <f>'Paste here'!E54</f>
        <v>0</v>
      </c>
      <c r="G54" s="13">
        <f>'Paste here'!F54</f>
        <v>0</v>
      </c>
      <c r="H54" s="13">
        <f>'Paste here'!G54</f>
        <v>0</v>
      </c>
      <c r="I54" s="13">
        <f>'Paste here'!M54</f>
        <v>0</v>
      </c>
      <c r="J54" s="13" t="e">
        <f>IF(I54*VLOOKUP(H54,'Claim Amount'!$B$3:$J$24,6,FALSE)&lt;VLOOKUP(H54,'Claim Amount'!$B$3:$J$24,7,FALSE),VLOOKUP(H54,'Claim Amount'!$B$3:$J$24,7,FALSE),I54*VLOOKUP(H54,'Claim Amount'!$B$3:$J$24,6,FALSE))</f>
        <v>#N/A</v>
      </c>
      <c r="K54" s="13" t="e">
        <f t="shared" si="0"/>
        <v>#N/A</v>
      </c>
      <c r="L54" t="e" cm="1">
        <f t="array" ref="L54">IF(K54=0,"",[1]!SPELLNUMBER(K54))</f>
        <v>#N/A</v>
      </c>
    </row>
    <row r="55" spans="1:12" ht="17.45" customHeight="1" x14ac:dyDescent="0.25">
      <c r="A55" s="13" t="s">
        <v>103</v>
      </c>
      <c r="B55" s="13" t="s">
        <v>123</v>
      </c>
      <c r="C55" s="13">
        <f>'Paste here'!AH55</f>
        <v>0</v>
      </c>
      <c r="D55" s="61">
        <f>'Paste here'!AI55</f>
        <v>0</v>
      </c>
      <c r="E55" s="13" t="s">
        <v>47</v>
      </c>
      <c r="F55" s="61">
        <f>'Paste here'!E55</f>
        <v>0</v>
      </c>
      <c r="G55" s="13">
        <f>'Paste here'!F55</f>
        <v>0</v>
      </c>
      <c r="H55" s="13">
        <f>'Paste here'!G55</f>
        <v>0</v>
      </c>
      <c r="I55" s="13">
        <f>'Paste here'!M55</f>
        <v>0</v>
      </c>
      <c r="J55" s="13" t="e">
        <f>IF(I55*VLOOKUP(H55,'Claim Amount'!$B$3:$J$24,6,FALSE)&lt;VLOOKUP(H55,'Claim Amount'!$B$3:$J$24,7,FALSE),VLOOKUP(H55,'Claim Amount'!$B$3:$J$24,7,FALSE),I55*VLOOKUP(H55,'Claim Amount'!$B$3:$J$24,6,FALSE))</f>
        <v>#N/A</v>
      </c>
      <c r="K55" s="13" t="e">
        <f t="shared" si="0"/>
        <v>#N/A</v>
      </c>
      <c r="L55" t="e" cm="1">
        <f t="array" ref="L55">IF(K55=0,"",[1]!SPELLNUMBER(K55))</f>
        <v>#N/A</v>
      </c>
    </row>
    <row r="56" spans="1:12" ht="17.45" customHeight="1" x14ac:dyDescent="0.25">
      <c r="A56" s="13" t="s">
        <v>104</v>
      </c>
      <c r="B56" s="13" t="s">
        <v>123</v>
      </c>
      <c r="C56" s="13">
        <f>'Paste here'!AH56</f>
        <v>0</v>
      </c>
      <c r="D56" s="61">
        <f>'Paste here'!AI56</f>
        <v>0</v>
      </c>
      <c r="E56" s="13" t="s">
        <v>47</v>
      </c>
      <c r="F56" s="61">
        <f>'Paste here'!E56</f>
        <v>0</v>
      </c>
      <c r="G56" s="13">
        <f>'Paste here'!F56</f>
        <v>0</v>
      </c>
      <c r="H56" s="13">
        <f>'Paste here'!G56</f>
        <v>0</v>
      </c>
      <c r="I56" s="13">
        <f>'Paste here'!M56</f>
        <v>0</v>
      </c>
      <c r="J56" s="13" t="e">
        <f>IF(I56*VLOOKUP(H56,'Claim Amount'!$B$3:$J$24,6,FALSE)&lt;VLOOKUP(H56,'Claim Amount'!$B$3:$J$24,7,FALSE),VLOOKUP(H56,'Claim Amount'!$B$3:$J$24,7,FALSE),I56*VLOOKUP(H56,'Claim Amount'!$B$3:$J$24,6,FALSE))</f>
        <v>#N/A</v>
      </c>
      <c r="K56" s="13" t="e">
        <f t="shared" si="0"/>
        <v>#N/A</v>
      </c>
      <c r="L56" t="e" cm="1">
        <f t="array" ref="L56">IF(K56=0,"",[1]!SPELLNUMBER(K56))</f>
        <v>#N/A</v>
      </c>
    </row>
    <row r="57" spans="1:12" ht="17.45" customHeight="1" x14ac:dyDescent="0.25">
      <c r="A57" s="13" t="s">
        <v>105</v>
      </c>
      <c r="B57" s="13" t="s">
        <v>123</v>
      </c>
      <c r="C57" s="13">
        <f>'Paste here'!AH57</f>
        <v>0</v>
      </c>
      <c r="D57" s="61">
        <f>'Paste here'!AI57</f>
        <v>0</v>
      </c>
      <c r="E57" s="13" t="s">
        <v>47</v>
      </c>
      <c r="F57" s="61">
        <f>'Paste here'!E57</f>
        <v>0</v>
      </c>
      <c r="G57" s="13">
        <f>'Paste here'!F57</f>
        <v>0</v>
      </c>
      <c r="H57" s="13">
        <f>'Paste here'!G57</f>
        <v>0</v>
      </c>
      <c r="I57" s="13">
        <f>'Paste here'!M57</f>
        <v>0</v>
      </c>
      <c r="J57" s="13" t="e">
        <f>IF(I57*VLOOKUP(H57,'Claim Amount'!$B$3:$J$24,6,FALSE)&lt;VLOOKUP(H57,'Claim Amount'!$B$3:$J$24,7,FALSE),VLOOKUP(H57,'Claim Amount'!$B$3:$J$24,7,FALSE),I57*VLOOKUP(H57,'Claim Amount'!$B$3:$J$24,6,FALSE))</f>
        <v>#N/A</v>
      </c>
      <c r="K57" s="13" t="e">
        <f t="shared" si="0"/>
        <v>#N/A</v>
      </c>
      <c r="L57" t="e" cm="1">
        <f t="array" ref="L57">IF(K57=0,"",[1]!SPELLNUMBER(K57))</f>
        <v>#N/A</v>
      </c>
    </row>
    <row r="58" spans="1:12" ht="17.45" customHeight="1" x14ac:dyDescent="0.25">
      <c r="A58" s="13" t="s">
        <v>106</v>
      </c>
      <c r="B58" s="13" t="s">
        <v>123</v>
      </c>
      <c r="C58" s="13">
        <f>'Paste here'!AH58</f>
        <v>0</v>
      </c>
      <c r="D58" s="61">
        <f>'Paste here'!AI58</f>
        <v>0</v>
      </c>
      <c r="E58" s="13" t="s">
        <v>47</v>
      </c>
      <c r="F58" s="61">
        <f>'Paste here'!E58</f>
        <v>0</v>
      </c>
      <c r="G58" s="13">
        <f>'Paste here'!F58</f>
        <v>0</v>
      </c>
      <c r="H58" s="13">
        <f>'Paste here'!G58</f>
        <v>0</v>
      </c>
      <c r="I58" s="13">
        <f>'Paste here'!M58</f>
        <v>0</v>
      </c>
      <c r="J58" s="13" t="e">
        <f>IF(I58*VLOOKUP(H58,'Claim Amount'!$B$3:$J$24,6,FALSE)&lt;VLOOKUP(H58,'Claim Amount'!$B$3:$J$24,7,FALSE),VLOOKUP(H58,'Claim Amount'!$B$3:$J$24,7,FALSE),I58*VLOOKUP(H58,'Claim Amount'!$B$3:$J$24,6,FALSE))</f>
        <v>#N/A</v>
      </c>
      <c r="K58" s="13" t="e">
        <f t="shared" si="0"/>
        <v>#N/A</v>
      </c>
      <c r="L58" t="e" cm="1">
        <f t="array" ref="L58">IF(K58=0,"",[1]!SPELLNUMBER(K58))</f>
        <v>#N/A</v>
      </c>
    </row>
    <row r="59" spans="1:12" ht="17.45" customHeight="1" x14ac:dyDescent="0.25">
      <c r="A59" s="13" t="s">
        <v>107</v>
      </c>
      <c r="B59" s="13" t="s">
        <v>123</v>
      </c>
      <c r="C59" s="13">
        <f>'Paste here'!AH59</f>
        <v>0</v>
      </c>
      <c r="D59" s="61">
        <f>'Paste here'!AI59</f>
        <v>0</v>
      </c>
      <c r="E59" s="13" t="s">
        <v>47</v>
      </c>
      <c r="F59" s="61">
        <f>'Paste here'!E59</f>
        <v>0</v>
      </c>
      <c r="G59" s="13">
        <f>'Paste here'!F59</f>
        <v>0</v>
      </c>
      <c r="H59" s="13">
        <f>'Paste here'!G59</f>
        <v>0</v>
      </c>
      <c r="I59" s="13">
        <f>'Paste here'!M59</f>
        <v>0</v>
      </c>
      <c r="J59" s="13" t="e">
        <f>IF(I59*VLOOKUP(H59,'Claim Amount'!$B$3:$J$24,6,FALSE)&lt;VLOOKUP(H59,'Claim Amount'!$B$3:$J$24,7,FALSE),VLOOKUP(H59,'Claim Amount'!$B$3:$J$24,7,FALSE),I59*VLOOKUP(H59,'Claim Amount'!$B$3:$J$24,6,FALSE))</f>
        <v>#N/A</v>
      </c>
      <c r="K59" s="13" t="e">
        <f t="shared" si="0"/>
        <v>#N/A</v>
      </c>
      <c r="L59" t="e" cm="1">
        <f t="array" ref="L59">IF(K59=0,"",[1]!SPELLNUMBER(K59))</f>
        <v>#N/A</v>
      </c>
    </row>
    <row r="60" spans="1:12" ht="17.45" customHeight="1" x14ac:dyDescent="0.25">
      <c r="A60" s="13" t="s">
        <v>108</v>
      </c>
      <c r="B60" s="13" t="s">
        <v>123</v>
      </c>
      <c r="C60" s="13">
        <f>'Paste here'!AH60</f>
        <v>0</v>
      </c>
      <c r="D60" s="61">
        <f>'Paste here'!AI60</f>
        <v>0</v>
      </c>
      <c r="E60" s="13" t="s">
        <v>47</v>
      </c>
      <c r="F60" s="61">
        <f>'Paste here'!E60</f>
        <v>0</v>
      </c>
      <c r="G60" s="13">
        <f>'Paste here'!F60</f>
        <v>0</v>
      </c>
      <c r="H60" s="13">
        <f>'Paste here'!G60</f>
        <v>0</v>
      </c>
      <c r="I60" s="13">
        <f>'Paste here'!M60</f>
        <v>0</v>
      </c>
      <c r="J60" s="13" t="e">
        <f>IF(I60*VLOOKUP(H60,'Claim Amount'!$B$3:$J$24,6,FALSE)&lt;VLOOKUP(H60,'Claim Amount'!$B$3:$J$24,7,FALSE),VLOOKUP(H60,'Claim Amount'!$B$3:$J$24,7,FALSE),I60*VLOOKUP(H60,'Claim Amount'!$B$3:$J$24,6,FALSE))</f>
        <v>#N/A</v>
      </c>
      <c r="K60" s="13" t="e">
        <f t="shared" si="0"/>
        <v>#N/A</v>
      </c>
      <c r="L60" t="e" cm="1">
        <f t="array" ref="L60">IF(K60=0,"",[1]!SPELLNUMBER(K60))</f>
        <v>#N/A</v>
      </c>
    </row>
    <row r="61" spans="1:12" ht="17.45" customHeight="1" x14ac:dyDescent="0.25">
      <c r="A61" s="13" t="s">
        <v>203</v>
      </c>
      <c r="B61" s="13" t="s">
        <v>123</v>
      </c>
      <c r="C61" s="13">
        <f>'Paste here'!AH61</f>
        <v>0</v>
      </c>
      <c r="D61" s="61">
        <f>'Paste here'!AI61</f>
        <v>0</v>
      </c>
      <c r="E61" s="13" t="s">
        <v>47</v>
      </c>
      <c r="F61" s="61">
        <f>'Paste here'!E61</f>
        <v>0</v>
      </c>
      <c r="G61" s="13">
        <f>'Paste here'!F61</f>
        <v>0</v>
      </c>
      <c r="H61" s="13">
        <f>'Paste here'!G61</f>
        <v>0</v>
      </c>
      <c r="I61" s="13">
        <f>'Paste here'!M61</f>
        <v>0</v>
      </c>
      <c r="J61" s="13" t="e">
        <f>IF(I61*VLOOKUP(H61,'Claim Amount'!$B$3:$J$24,6,FALSE)&lt;VLOOKUP(H61,'Claim Amount'!$B$3:$J$24,7,FALSE),VLOOKUP(H61,'Claim Amount'!$B$3:$J$24,7,FALSE),I61*VLOOKUP(H61,'Claim Amount'!$B$3:$J$24,6,FALSE))</f>
        <v>#N/A</v>
      </c>
      <c r="K61" s="13" t="e">
        <f t="shared" si="0"/>
        <v>#N/A</v>
      </c>
      <c r="L61" t="e" cm="1">
        <f t="array" ref="L61">IF(K61=0,"",[1]!SPELLNUMBER(K61))</f>
        <v>#N/A</v>
      </c>
    </row>
    <row r="62" spans="1:12" ht="17.45" customHeight="1" x14ac:dyDescent="0.25">
      <c r="A62" s="13" t="s">
        <v>204</v>
      </c>
      <c r="B62" s="13" t="s">
        <v>123</v>
      </c>
      <c r="C62" s="13">
        <f>'Paste here'!AH62</f>
        <v>0</v>
      </c>
      <c r="D62" s="61">
        <f>'Paste here'!AI62</f>
        <v>0</v>
      </c>
      <c r="E62" s="13" t="s">
        <v>47</v>
      </c>
      <c r="F62" s="61">
        <f>'Paste here'!E62</f>
        <v>0</v>
      </c>
      <c r="G62" s="13">
        <f>'Paste here'!F62</f>
        <v>0</v>
      </c>
      <c r="H62" s="13">
        <f>'Paste here'!G62</f>
        <v>0</v>
      </c>
      <c r="I62" s="13">
        <f>'Paste here'!M62</f>
        <v>0</v>
      </c>
      <c r="J62" s="13" t="e">
        <f>IF(I62*VLOOKUP(H62,'Claim Amount'!$B$3:$J$24,6,FALSE)&lt;VLOOKUP(H62,'Claim Amount'!$B$3:$J$24,7,FALSE),VLOOKUP(H62,'Claim Amount'!$B$3:$J$24,7,FALSE),I62*VLOOKUP(H62,'Claim Amount'!$B$3:$J$24,6,FALSE))</f>
        <v>#N/A</v>
      </c>
      <c r="K62" s="13" t="e">
        <f t="shared" si="0"/>
        <v>#N/A</v>
      </c>
      <c r="L62" t="e" cm="1">
        <f t="array" ref="L62">IF(K62=0,"",[1]!SPELLNUMBER(K62))</f>
        <v>#N/A</v>
      </c>
    </row>
    <row r="63" spans="1:12" ht="17.45" customHeight="1" x14ac:dyDescent="0.25">
      <c r="A63" s="13" t="s">
        <v>205</v>
      </c>
      <c r="B63" s="13" t="s">
        <v>123</v>
      </c>
      <c r="C63" s="13">
        <f>'Paste here'!AH63</f>
        <v>0</v>
      </c>
      <c r="D63" s="61">
        <f>'Paste here'!AI63</f>
        <v>0</v>
      </c>
      <c r="E63" s="13" t="s">
        <v>47</v>
      </c>
      <c r="F63" s="61">
        <f>'Paste here'!E63</f>
        <v>0</v>
      </c>
      <c r="G63" s="13">
        <f>'Paste here'!F63</f>
        <v>0</v>
      </c>
      <c r="H63" s="13">
        <f>'Paste here'!G63</f>
        <v>0</v>
      </c>
      <c r="I63" s="13">
        <f>'Paste here'!M63</f>
        <v>0</v>
      </c>
      <c r="J63" s="13" t="e">
        <f>IF(I63*VLOOKUP(H63,'Claim Amount'!$B$3:$J$24,6,FALSE)&lt;VLOOKUP(H63,'Claim Amount'!$B$3:$J$24,7,FALSE),VLOOKUP(H63,'Claim Amount'!$B$3:$J$24,7,FALSE),I63*VLOOKUP(H63,'Claim Amount'!$B$3:$J$24,6,FALSE))</f>
        <v>#N/A</v>
      </c>
      <c r="K63" s="13" t="e">
        <f t="shared" si="0"/>
        <v>#N/A</v>
      </c>
      <c r="L63" t="e" cm="1">
        <f t="array" ref="L63">IF(K63=0,"",[1]!SPELLNUMBER(K63))</f>
        <v>#N/A</v>
      </c>
    </row>
    <row r="64" spans="1:12" ht="17.45" customHeight="1" x14ac:dyDescent="0.25">
      <c r="A64" s="13" t="s">
        <v>206</v>
      </c>
      <c r="B64" s="13" t="s">
        <v>123</v>
      </c>
      <c r="C64" s="13">
        <f>'Paste here'!AH64</f>
        <v>0</v>
      </c>
      <c r="D64" s="61">
        <f>'Paste here'!AI64</f>
        <v>0</v>
      </c>
      <c r="E64" s="13" t="s">
        <v>47</v>
      </c>
      <c r="F64" s="61">
        <f>'Paste here'!E64</f>
        <v>0</v>
      </c>
      <c r="G64" s="13">
        <f>'Paste here'!F64</f>
        <v>0</v>
      </c>
      <c r="H64" s="13">
        <f>'Paste here'!G64</f>
        <v>0</v>
      </c>
      <c r="I64" s="13">
        <f>'Paste here'!M64</f>
        <v>0</v>
      </c>
      <c r="J64" s="13" t="e">
        <f>IF(I64*VLOOKUP(H64,'Claim Amount'!$B$3:$J$24,6,FALSE)&lt;VLOOKUP(H64,'Claim Amount'!$B$3:$J$24,7,FALSE),VLOOKUP(H64,'Claim Amount'!$B$3:$J$24,7,FALSE),I64*VLOOKUP(H64,'Claim Amount'!$B$3:$J$24,6,FALSE))</f>
        <v>#N/A</v>
      </c>
      <c r="K64" s="13" t="e">
        <f t="shared" si="0"/>
        <v>#N/A</v>
      </c>
      <c r="L64" t="e" cm="1">
        <f t="array" ref="L64">IF(K64=0,"",[1]!SPELLNUMBER(K64))</f>
        <v>#N/A</v>
      </c>
    </row>
    <row r="65" spans="1:12" ht="17.45" customHeight="1" x14ac:dyDescent="0.25">
      <c r="A65" s="13" t="s">
        <v>207</v>
      </c>
      <c r="B65" s="13" t="s">
        <v>123</v>
      </c>
      <c r="C65" s="13">
        <f>'Paste here'!AH65</f>
        <v>0</v>
      </c>
      <c r="D65" s="61">
        <f>'Paste here'!AI65</f>
        <v>0</v>
      </c>
      <c r="E65" s="13" t="s">
        <v>47</v>
      </c>
      <c r="F65" s="61">
        <f>'Paste here'!E65</f>
        <v>0</v>
      </c>
      <c r="G65" s="13">
        <f>'Paste here'!F65</f>
        <v>0</v>
      </c>
      <c r="H65" s="13">
        <f>'Paste here'!G65</f>
        <v>0</v>
      </c>
      <c r="I65" s="13">
        <f>'Paste here'!M65</f>
        <v>0</v>
      </c>
      <c r="J65" s="13" t="e">
        <f>IF(I65*VLOOKUP(H65,'Claim Amount'!$B$3:$J$24,6,FALSE)&lt;VLOOKUP(H65,'Claim Amount'!$B$3:$J$24,7,FALSE),VLOOKUP(H65,'Claim Amount'!$B$3:$J$24,7,FALSE),I65*VLOOKUP(H65,'Claim Amount'!$B$3:$J$24,6,FALSE))</f>
        <v>#N/A</v>
      </c>
      <c r="K65" s="13" t="e">
        <f t="shared" si="0"/>
        <v>#N/A</v>
      </c>
      <c r="L65" t="e" cm="1">
        <f t="array" ref="L65">IF(K65=0,"",[1]!SPELLNUMBER(K65))</f>
        <v>#N/A</v>
      </c>
    </row>
    <row r="66" spans="1:12" ht="17.45" customHeight="1" x14ac:dyDescent="0.25">
      <c r="A66" s="13" t="s">
        <v>208</v>
      </c>
      <c r="B66" s="13" t="s">
        <v>123</v>
      </c>
      <c r="C66" s="13">
        <f>'Paste here'!AH66</f>
        <v>0</v>
      </c>
      <c r="D66" s="61">
        <f>'Paste here'!AI66</f>
        <v>0</v>
      </c>
      <c r="E66" s="13" t="s">
        <v>47</v>
      </c>
      <c r="F66" s="61">
        <f>'Paste here'!E66</f>
        <v>0</v>
      </c>
      <c r="G66" s="13">
        <f>'Paste here'!F66</f>
        <v>0</v>
      </c>
      <c r="H66" s="13">
        <f>'Paste here'!G66</f>
        <v>0</v>
      </c>
      <c r="I66" s="13">
        <f>'Paste here'!M66</f>
        <v>0</v>
      </c>
      <c r="J66" s="13" t="e">
        <f>IF(I66*VLOOKUP(H66,'Claim Amount'!$B$3:$J$24,6,FALSE)&lt;VLOOKUP(H66,'Claim Amount'!$B$3:$J$24,7,FALSE),VLOOKUP(H66,'Claim Amount'!$B$3:$J$24,7,FALSE),I66*VLOOKUP(H66,'Claim Amount'!$B$3:$J$24,6,FALSE))</f>
        <v>#N/A</v>
      </c>
      <c r="K66" s="13" t="e">
        <f t="shared" si="0"/>
        <v>#N/A</v>
      </c>
      <c r="L66" t="e" cm="1">
        <f t="array" ref="L66">IF(K66=0,"",[1]!SPELLNUMBER(K66))</f>
        <v>#N/A</v>
      </c>
    </row>
    <row r="67" spans="1:12" ht="17.45" customHeight="1" x14ac:dyDescent="0.25">
      <c r="A67" s="13" t="s">
        <v>209</v>
      </c>
      <c r="B67" s="13" t="s">
        <v>123</v>
      </c>
      <c r="C67" s="13">
        <f>'Paste here'!AH67</f>
        <v>0</v>
      </c>
      <c r="D67" s="61">
        <f>'Paste here'!AI67</f>
        <v>0</v>
      </c>
      <c r="E67" s="13" t="s">
        <v>47</v>
      </c>
      <c r="F67" s="61">
        <f>'Paste here'!E67</f>
        <v>0</v>
      </c>
      <c r="G67" s="13">
        <f>'Paste here'!F67</f>
        <v>0</v>
      </c>
      <c r="H67" s="13">
        <f>'Paste here'!G67</f>
        <v>0</v>
      </c>
      <c r="I67" s="13">
        <f>'Paste here'!M67</f>
        <v>0</v>
      </c>
      <c r="J67" s="13" t="e">
        <f>IF(I67*VLOOKUP(H67,'Claim Amount'!$B$3:$J$24,6,FALSE)&lt;VLOOKUP(H67,'Claim Amount'!$B$3:$J$24,7,FALSE),VLOOKUP(H67,'Claim Amount'!$B$3:$J$24,7,FALSE),I67*VLOOKUP(H67,'Claim Amount'!$B$3:$J$24,6,FALSE))</f>
        <v>#N/A</v>
      </c>
      <c r="K67" s="13" t="e">
        <f>SUM(J67:J67)</f>
        <v>#N/A</v>
      </c>
      <c r="L67" t="e" cm="1">
        <f t="array" ref="L67">IF(K67=0,"",[1]!SPELLNUMBER(K67))</f>
        <v>#N/A</v>
      </c>
    </row>
    <row r="68" spans="1:12" ht="17.45" customHeight="1" x14ac:dyDescent="0.25">
      <c r="A68" s="13" t="s">
        <v>210</v>
      </c>
      <c r="B68" s="13" t="s">
        <v>123</v>
      </c>
      <c r="C68" s="13">
        <f>'Paste here'!AH68</f>
        <v>0</v>
      </c>
      <c r="D68" s="61">
        <f>'Paste here'!AI68</f>
        <v>0</v>
      </c>
      <c r="E68" s="13" t="s">
        <v>47</v>
      </c>
      <c r="F68" s="61">
        <f>'Paste here'!E68</f>
        <v>0</v>
      </c>
      <c r="G68" s="13">
        <f>'Paste here'!F68</f>
        <v>0</v>
      </c>
      <c r="H68" s="13">
        <f>'Paste here'!G68</f>
        <v>0</v>
      </c>
      <c r="I68" s="13">
        <f>'Paste here'!M68</f>
        <v>0</v>
      </c>
      <c r="J68" s="13" t="e">
        <f>IF(I68*VLOOKUP(H68,'Claim Amount'!$B$3:$J$24,6,FALSE)&lt;VLOOKUP(H68,'Claim Amount'!$B$3:$J$24,7,FALSE),VLOOKUP(H68,'Claim Amount'!$B$3:$J$24,7,FALSE),I68*VLOOKUP(H68,'Claim Amount'!$B$3:$J$24,6,FALSE))</f>
        <v>#N/A</v>
      </c>
      <c r="K68" s="13" t="e">
        <f>SUM(J68:J68)</f>
        <v>#N/A</v>
      </c>
      <c r="L68" t="e" cm="1">
        <f t="array" ref="L68">IF(K68=0,"",[1]!SPELLNUMBER(K68))</f>
        <v>#N/A</v>
      </c>
    </row>
    <row r="69" spans="1:12" ht="17.45" customHeight="1" x14ac:dyDescent="0.25">
      <c r="A69" s="13" t="s">
        <v>211</v>
      </c>
      <c r="B69" s="13" t="s">
        <v>123</v>
      </c>
      <c r="C69" s="13">
        <f>'Paste here'!AH69</f>
        <v>0</v>
      </c>
      <c r="D69" s="61">
        <f>'Paste here'!AI69</f>
        <v>0</v>
      </c>
      <c r="E69" s="13" t="s">
        <v>47</v>
      </c>
      <c r="F69" s="61">
        <f>'Paste here'!E69</f>
        <v>0</v>
      </c>
      <c r="G69" s="13">
        <f>'Paste here'!F69</f>
        <v>0</v>
      </c>
      <c r="H69" s="13">
        <f>'Paste here'!G69</f>
        <v>0</v>
      </c>
      <c r="I69" s="13">
        <f>'Paste here'!M69</f>
        <v>0</v>
      </c>
      <c r="J69" s="13" t="e">
        <f>IF(I69*VLOOKUP(H69,'Claim Amount'!$B$3:$J$24,6,FALSE)&lt;VLOOKUP(H69,'Claim Amount'!$B$3:$J$24,7,FALSE),VLOOKUP(H69,'Claim Amount'!$B$3:$J$24,7,FALSE),I69*VLOOKUP(H69,'Claim Amount'!$B$3:$J$24,6,FALSE))</f>
        <v>#N/A</v>
      </c>
      <c r="K69" s="13" t="e">
        <f>SUM(J69:J69)</f>
        <v>#N/A</v>
      </c>
      <c r="L69" t="e" cm="1">
        <f t="array" ref="L69">IF(K69=0,"",[1]!SPELLNUMBER(K69))</f>
        <v>#N/A</v>
      </c>
    </row>
  </sheetData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13"/>
  <sheetViews>
    <sheetView workbookViewId="0">
      <selection activeCell="L8" sqref="L8"/>
    </sheetView>
  </sheetViews>
  <sheetFormatPr defaultRowHeight="15" x14ac:dyDescent="0.25"/>
  <cols>
    <col min="2" max="2" width="15.5703125" customWidth="1"/>
    <col min="3" max="3" width="5.85546875" customWidth="1"/>
    <col min="4" max="4" width="20.7109375" customWidth="1"/>
    <col min="5" max="5" width="7.7109375" bestFit="1" customWidth="1"/>
    <col min="6" max="6" width="14" customWidth="1"/>
    <col min="7" max="7" width="10.5703125" customWidth="1"/>
    <col min="8" max="8" width="16.7109375" bestFit="1" customWidth="1"/>
    <col min="9" max="9" width="11.28515625" customWidth="1"/>
    <col min="10" max="10" width="9.140625" style="2"/>
    <col min="11" max="11" width="6.5703125" style="2" bestFit="1" customWidth="1"/>
    <col min="12" max="12" width="17.85546875" customWidth="1"/>
  </cols>
  <sheetData>
    <row r="1" spans="1:12" s="6" customFormat="1" ht="30" x14ac:dyDescent="0.25">
      <c r="A1" s="6" t="s">
        <v>109</v>
      </c>
      <c r="B1" s="6" t="s">
        <v>111</v>
      </c>
      <c r="C1" s="6" t="s">
        <v>113</v>
      </c>
      <c r="D1" s="6" t="s">
        <v>110</v>
      </c>
      <c r="E1" s="6" t="s">
        <v>118</v>
      </c>
      <c r="F1" s="6" t="s">
        <v>119</v>
      </c>
      <c r="G1" s="6" t="s">
        <v>115</v>
      </c>
      <c r="H1" s="6" t="s">
        <v>4</v>
      </c>
      <c r="I1" s="6" t="s">
        <v>124</v>
      </c>
      <c r="J1" s="6" t="s">
        <v>116</v>
      </c>
      <c r="K1" s="6" t="s">
        <v>121</v>
      </c>
    </row>
    <row r="2" spans="1:12" x14ac:dyDescent="0.25">
      <c r="A2" t="s">
        <v>50</v>
      </c>
      <c r="B2" t="s">
        <v>125</v>
      </c>
      <c r="C2" t="str">
        <f>'Paste here'!AQ2</f>
        <v>N/A</v>
      </c>
      <c r="D2" t="str">
        <f>'Paste here'!AR2</f>
        <v>NA</v>
      </c>
      <c r="E2" t="s">
        <v>47</v>
      </c>
      <c r="F2" t="str">
        <f>'Paste here'!E2</f>
        <v>Only FN</v>
      </c>
      <c r="G2" s="2" t="str">
        <f>'Paste here'!F2</f>
        <v>UG</v>
      </c>
      <c r="H2" s="2" t="str">
        <f>'Paste here'!G2</f>
        <v>TCPL</v>
      </c>
      <c r="I2" s="2">
        <f>'Paste here'!M2</f>
        <v>23</v>
      </c>
      <c r="J2" s="2">
        <f>IF(I2*VLOOKUP(H2,'Claim Amount'!$B$3:$J$24,8,FALSE)&lt;VLOOKUP(H2,'Claim Amount'!$B$3:$J$24,9,FALSE),VLOOKUP(H2,'Claim Amount'!$B$3:$J$24,9,FALSE),I2*VLOOKUP(H2,'Claim Amount'!$B$3:$J$24,8,FALSE))</f>
        <v>0</v>
      </c>
      <c r="K2" s="2">
        <f>SUM(J2:J2)</f>
        <v>0</v>
      </c>
      <c r="L2" t="str" cm="1">
        <f t="array" ref="L2">IF(K2=0,"",[1]!SPELLNUMBER(K2))</f>
        <v/>
      </c>
    </row>
    <row r="3" spans="1:12" x14ac:dyDescent="0.25">
      <c r="A3" t="s">
        <v>78</v>
      </c>
      <c r="B3" t="s">
        <v>125</v>
      </c>
      <c r="C3">
        <f>'Paste here'!AQ3</f>
        <v>0</v>
      </c>
      <c r="D3">
        <f>'Paste here'!AR3</f>
        <v>0</v>
      </c>
      <c r="E3" t="s">
        <v>47</v>
      </c>
      <c r="F3">
        <f>'Paste here'!E3</f>
        <v>0</v>
      </c>
      <c r="G3" s="2">
        <f>'Paste here'!F3</f>
        <v>0</v>
      </c>
      <c r="H3" s="2">
        <f>'Paste here'!G3</f>
        <v>0</v>
      </c>
      <c r="I3" s="2">
        <f>'Paste here'!M3</f>
        <v>0</v>
      </c>
      <c r="J3" s="2" t="e">
        <f>IF(I3*VLOOKUP(H3,'Claim Amount'!$B$3:$J$24,8,FALSE)&lt;VLOOKUP(H3,'Claim Amount'!$B$3:$J$24,9,FALSE),VLOOKUP(H3,'Claim Amount'!$B$3:$J$24,9,FALSE),I3*VLOOKUP(H3,'Claim Amount'!$B$3:$J$24,8,FALSE))</f>
        <v>#N/A</v>
      </c>
      <c r="K3" s="2" t="e">
        <f t="shared" ref="K3:K66" si="0">SUM(J3:J3)</f>
        <v>#N/A</v>
      </c>
      <c r="L3" t="e" cm="1">
        <f t="array" ref="L3">IF(K3=0,"",[1]!SPELLNUMBER(K3))</f>
        <v>#N/A</v>
      </c>
    </row>
    <row r="4" spans="1:12" x14ac:dyDescent="0.25">
      <c r="A4" t="s">
        <v>79</v>
      </c>
      <c r="B4" t="s">
        <v>125</v>
      </c>
      <c r="C4">
        <f>'Paste here'!AQ4</f>
        <v>0</v>
      </c>
      <c r="D4">
        <f>'Paste here'!AR4</f>
        <v>0</v>
      </c>
      <c r="E4" t="s">
        <v>47</v>
      </c>
      <c r="F4">
        <f>'Paste here'!E4</f>
        <v>0</v>
      </c>
      <c r="G4" s="2">
        <f>'Paste here'!F4</f>
        <v>0</v>
      </c>
      <c r="H4" s="2">
        <f>'Paste here'!G4</f>
        <v>0</v>
      </c>
      <c r="I4" s="2">
        <f>'Paste here'!M4</f>
        <v>0</v>
      </c>
      <c r="J4" s="2" t="e">
        <f>IF(I4*VLOOKUP(H4,'Claim Amount'!$B$3:$J$24,8,FALSE)&lt;VLOOKUP(H4,'Claim Amount'!$B$3:$J$24,9,FALSE),VLOOKUP(H4,'Claim Amount'!$B$3:$J$24,9,FALSE),I4*VLOOKUP(H4,'Claim Amount'!$B$3:$J$24,8,FALSE))</f>
        <v>#N/A</v>
      </c>
      <c r="K4" s="2" t="e">
        <f t="shared" si="0"/>
        <v>#N/A</v>
      </c>
      <c r="L4" t="e" cm="1">
        <f t="array" ref="L4">IF(K4=0,"",[1]!SPELLNUMBER(K4))</f>
        <v>#N/A</v>
      </c>
    </row>
    <row r="5" spans="1:12" x14ac:dyDescent="0.25">
      <c r="A5" t="s">
        <v>51</v>
      </c>
      <c r="B5" t="s">
        <v>125</v>
      </c>
      <c r="C5">
        <f>'Paste here'!AQ5</f>
        <v>0</v>
      </c>
      <c r="D5">
        <f>'Paste here'!AR5</f>
        <v>0</v>
      </c>
      <c r="E5" t="s">
        <v>47</v>
      </c>
      <c r="F5">
        <f>'Paste here'!E5</f>
        <v>0</v>
      </c>
      <c r="G5" s="2">
        <f>'Paste here'!F5</f>
        <v>0</v>
      </c>
      <c r="H5" s="2">
        <f>'Paste here'!G5</f>
        <v>0</v>
      </c>
      <c r="I5" s="2">
        <f>'Paste here'!M5</f>
        <v>0</v>
      </c>
      <c r="J5" s="2" t="e">
        <f>IF(I5*VLOOKUP(H5,'Claim Amount'!$B$3:$J$24,8,FALSE)&lt;VLOOKUP(H5,'Claim Amount'!$B$3:$J$24,9,FALSE),VLOOKUP(H5,'Claim Amount'!$B$3:$J$24,9,FALSE),I5*VLOOKUP(H5,'Claim Amount'!$B$3:$J$24,8,FALSE))</f>
        <v>#N/A</v>
      </c>
      <c r="K5" s="2" t="e">
        <f t="shared" si="0"/>
        <v>#N/A</v>
      </c>
      <c r="L5" t="e" cm="1">
        <f t="array" ref="L5">IF(K5=0,"",[1]!SPELLNUMBER(K5))</f>
        <v>#N/A</v>
      </c>
    </row>
    <row r="6" spans="1:12" x14ac:dyDescent="0.25">
      <c r="A6" t="s">
        <v>52</v>
      </c>
      <c r="B6" t="s">
        <v>125</v>
      </c>
      <c r="C6">
        <f>'Paste here'!AQ6</f>
        <v>0</v>
      </c>
      <c r="D6">
        <f>'Paste here'!AR6</f>
        <v>0</v>
      </c>
      <c r="E6" t="s">
        <v>47</v>
      </c>
      <c r="F6">
        <f>'Paste here'!E6</f>
        <v>0</v>
      </c>
      <c r="G6" s="2">
        <f>'Paste here'!F6</f>
        <v>0</v>
      </c>
      <c r="H6" s="2">
        <f>'Paste here'!G6</f>
        <v>0</v>
      </c>
      <c r="I6" s="2">
        <f>'Paste here'!M6</f>
        <v>0</v>
      </c>
      <c r="J6" s="2" t="e">
        <f>IF(I6*VLOOKUP(H6,'Claim Amount'!$B$3:$J$24,8,FALSE)&lt;VLOOKUP(H6,'Claim Amount'!$B$3:$J$24,9,FALSE),VLOOKUP(H6,'Claim Amount'!$B$3:$J$24,9,FALSE),I6*VLOOKUP(H6,'Claim Amount'!$B$3:$J$24,8,FALSE))</f>
        <v>#N/A</v>
      </c>
      <c r="K6" s="2" t="e">
        <f t="shared" si="0"/>
        <v>#N/A</v>
      </c>
      <c r="L6" t="e" cm="1">
        <f t="array" ref="L6">IF(K6=0,"",[1]!SPELLNUMBER(K6))</f>
        <v>#N/A</v>
      </c>
    </row>
    <row r="7" spans="1:12" x14ac:dyDescent="0.25">
      <c r="A7" t="s">
        <v>53</v>
      </c>
      <c r="B7" t="s">
        <v>125</v>
      </c>
      <c r="C7">
        <f>'Paste here'!AQ7</f>
        <v>0</v>
      </c>
      <c r="D7">
        <f>'Paste here'!AR7</f>
        <v>0</v>
      </c>
      <c r="E7" t="s">
        <v>47</v>
      </c>
      <c r="F7">
        <f>'Paste here'!E7</f>
        <v>0</v>
      </c>
      <c r="G7" s="2">
        <f>'Paste here'!F7</f>
        <v>0</v>
      </c>
      <c r="H7" s="2">
        <f>'Paste here'!G7</f>
        <v>0</v>
      </c>
      <c r="I7" s="2">
        <f>'Paste here'!M7</f>
        <v>0</v>
      </c>
      <c r="J7" s="2" t="e">
        <f>IF(I7*VLOOKUP(H7,'Claim Amount'!$B$3:$J$24,8,FALSE)&lt;VLOOKUP(H7,'Claim Amount'!$B$3:$J$24,9,FALSE),VLOOKUP(H7,'Claim Amount'!$B$3:$J$24,9,FALSE),I7*VLOOKUP(H7,'Claim Amount'!$B$3:$J$24,8,FALSE))</f>
        <v>#N/A</v>
      </c>
      <c r="K7" s="2" t="e">
        <f t="shared" si="0"/>
        <v>#N/A</v>
      </c>
      <c r="L7" t="e" cm="1">
        <f t="array" ref="L7">IF(K7=0,"",[1]!SPELLNUMBER(K7))</f>
        <v>#N/A</v>
      </c>
    </row>
    <row r="8" spans="1:12" x14ac:dyDescent="0.25">
      <c r="A8" t="s">
        <v>54</v>
      </c>
      <c r="B8" t="s">
        <v>125</v>
      </c>
      <c r="C8">
        <f>'Paste here'!AQ8</f>
        <v>0</v>
      </c>
      <c r="D8">
        <f>'Paste here'!AR8</f>
        <v>0</v>
      </c>
      <c r="E8" t="s">
        <v>47</v>
      </c>
      <c r="F8">
        <f>'Paste here'!E8</f>
        <v>0</v>
      </c>
      <c r="G8" s="2">
        <f>'Paste here'!F8</f>
        <v>0</v>
      </c>
      <c r="H8" s="2">
        <f>'Paste here'!G8</f>
        <v>0</v>
      </c>
      <c r="I8" s="2">
        <f>'Paste here'!M8</f>
        <v>0</v>
      </c>
      <c r="J8" s="2" t="e">
        <f>IF(I8*VLOOKUP(H8,'Claim Amount'!$B$3:$J$24,8,FALSE)&lt;VLOOKUP(H8,'Claim Amount'!$B$3:$J$24,9,FALSE),VLOOKUP(H8,'Claim Amount'!$B$3:$J$24,9,FALSE),I8*VLOOKUP(H8,'Claim Amount'!$B$3:$J$24,8,FALSE))</f>
        <v>#N/A</v>
      </c>
      <c r="K8" s="2" t="e">
        <f t="shared" si="0"/>
        <v>#N/A</v>
      </c>
      <c r="L8" t="e" cm="1">
        <f t="array" ref="L8">IF(K8=0,"",[1]!SPELLNUMBER(K8))</f>
        <v>#N/A</v>
      </c>
    </row>
    <row r="9" spans="1:12" x14ac:dyDescent="0.25">
      <c r="A9" t="s">
        <v>55</v>
      </c>
      <c r="B9" t="s">
        <v>125</v>
      </c>
      <c r="C9">
        <f>'Paste here'!AQ9</f>
        <v>0</v>
      </c>
      <c r="D9">
        <f>'Paste here'!AR9</f>
        <v>0</v>
      </c>
      <c r="E9" t="s">
        <v>47</v>
      </c>
      <c r="F9">
        <f>'Paste here'!E9</f>
        <v>0</v>
      </c>
      <c r="G9" s="2">
        <f>'Paste here'!F9</f>
        <v>0</v>
      </c>
      <c r="H9" s="2">
        <f>'Paste here'!G9</f>
        <v>0</v>
      </c>
      <c r="I9" s="2">
        <f>'Paste here'!M9</f>
        <v>0</v>
      </c>
      <c r="J9" s="2" t="e">
        <f>IF(I9*VLOOKUP(H9,'Claim Amount'!$B$3:$J$24,8,FALSE)&lt;VLOOKUP(H9,'Claim Amount'!$B$3:$J$24,9,FALSE),VLOOKUP(H9,'Claim Amount'!$B$3:$J$24,9,FALSE),I9*VLOOKUP(H9,'Claim Amount'!$B$3:$J$24,8,FALSE))</f>
        <v>#N/A</v>
      </c>
      <c r="K9" s="2" t="e">
        <f t="shared" si="0"/>
        <v>#N/A</v>
      </c>
      <c r="L9" t="e" cm="1">
        <f t="array" ref="L9">IF(K9=0,"",[1]!SPELLNUMBER(K9))</f>
        <v>#N/A</v>
      </c>
    </row>
    <row r="10" spans="1:12" x14ac:dyDescent="0.25">
      <c r="A10" t="s">
        <v>56</v>
      </c>
      <c r="B10" t="s">
        <v>125</v>
      </c>
      <c r="C10">
        <f>'Paste here'!AQ10</f>
        <v>0</v>
      </c>
      <c r="D10">
        <f>'Paste here'!AR10</f>
        <v>0</v>
      </c>
      <c r="E10" t="s">
        <v>47</v>
      </c>
      <c r="F10">
        <f>'Paste here'!E10</f>
        <v>0</v>
      </c>
      <c r="G10" s="2">
        <f>'Paste here'!F10</f>
        <v>0</v>
      </c>
      <c r="H10" s="2">
        <f>'Paste here'!G10</f>
        <v>0</v>
      </c>
      <c r="I10" s="2">
        <f>'Paste here'!M10</f>
        <v>0</v>
      </c>
      <c r="J10" s="2" t="e">
        <f>IF(I10*VLOOKUP(H10,'Claim Amount'!$B$3:$J$24,8,FALSE)&lt;VLOOKUP(H10,'Claim Amount'!$B$3:$J$24,9,FALSE),VLOOKUP(H10,'Claim Amount'!$B$3:$J$24,9,FALSE),I10*VLOOKUP(H10,'Claim Amount'!$B$3:$J$24,8,FALSE))</f>
        <v>#N/A</v>
      </c>
      <c r="K10" s="2" t="e">
        <f>SUM(J10:J10)</f>
        <v>#N/A</v>
      </c>
      <c r="L10" t="e" cm="1">
        <f t="array" ref="L10">IF(K10=0,"",[1]!SPELLNUMBER(K10))</f>
        <v>#N/A</v>
      </c>
    </row>
    <row r="11" spans="1:12" x14ac:dyDescent="0.25">
      <c r="A11" t="s">
        <v>57</v>
      </c>
      <c r="B11" t="s">
        <v>125</v>
      </c>
      <c r="C11">
        <f>'Paste here'!AQ11</f>
        <v>0</v>
      </c>
      <c r="D11">
        <f>'Paste here'!AR11</f>
        <v>0</v>
      </c>
      <c r="E11" t="s">
        <v>47</v>
      </c>
      <c r="F11">
        <f>'Paste here'!E11</f>
        <v>0</v>
      </c>
      <c r="G11" s="2">
        <f>'Paste here'!F11</f>
        <v>0</v>
      </c>
      <c r="H11" s="2">
        <f>'Paste here'!G11</f>
        <v>0</v>
      </c>
      <c r="I11" s="2">
        <f>'Paste here'!M11</f>
        <v>0</v>
      </c>
      <c r="J11" s="2" t="e">
        <f>IF(I11*VLOOKUP(H11,'Claim Amount'!$B$3:$J$24,8,FALSE)&lt;VLOOKUP(H11,'Claim Amount'!$B$3:$J$24,9,FALSE),VLOOKUP(H11,'Claim Amount'!$B$3:$J$24,9,FALSE),I11*VLOOKUP(H11,'Claim Amount'!$B$3:$J$24,8,FALSE))</f>
        <v>#N/A</v>
      </c>
      <c r="K11" s="2" t="e">
        <f t="shared" si="0"/>
        <v>#N/A</v>
      </c>
      <c r="L11" t="e" cm="1">
        <f t="array" ref="L11">IF(K11=0,"",[1]!SPELLNUMBER(K11))</f>
        <v>#N/A</v>
      </c>
    </row>
    <row r="12" spans="1:12" x14ac:dyDescent="0.25">
      <c r="A12" t="s">
        <v>58</v>
      </c>
      <c r="B12" t="s">
        <v>125</v>
      </c>
      <c r="C12">
        <f>'Paste here'!AQ12</f>
        <v>0</v>
      </c>
      <c r="D12">
        <f>'Paste here'!AR12</f>
        <v>0</v>
      </c>
      <c r="E12" t="s">
        <v>47</v>
      </c>
      <c r="F12">
        <f>'Paste here'!E12</f>
        <v>0</v>
      </c>
      <c r="G12" s="2">
        <f>'Paste here'!F12</f>
        <v>0</v>
      </c>
      <c r="H12" s="2">
        <f>'Paste here'!G12</f>
        <v>0</v>
      </c>
      <c r="I12" s="2">
        <f>'Paste here'!M12</f>
        <v>0</v>
      </c>
      <c r="J12" s="2" t="e">
        <f>IF(I12*VLOOKUP(H12,'Claim Amount'!$B$3:$J$24,8,FALSE)&lt;VLOOKUP(H12,'Claim Amount'!$B$3:$J$24,9,FALSE),VLOOKUP(H12,'Claim Amount'!$B$3:$J$24,9,FALSE),I12*VLOOKUP(H12,'Claim Amount'!$B$3:$J$24,8,FALSE))</f>
        <v>#N/A</v>
      </c>
      <c r="K12" s="2" t="e">
        <f t="shared" si="0"/>
        <v>#N/A</v>
      </c>
      <c r="L12" t="e" cm="1">
        <f t="array" ref="L12">IF(K12=0,"",[1]!SPELLNUMBER(K12))</f>
        <v>#N/A</v>
      </c>
    </row>
    <row r="13" spans="1:12" x14ac:dyDescent="0.25">
      <c r="A13" t="s">
        <v>59</v>
      </c>
      <c r="B13" t="s">
        <v>125</v>
      </c>
      <c r="C13">
        <f>'Paste here'!AQ13</f>
        <v>0</v>
      </c>
      <c r="D13">
        <f>'Paste here'!AR13</f>
        <v>0</v>
      </c>
      <c r="E13" t="s">
        <v>47</v>
      </c>
      <c r="F13">
        <f>'Paste here'!E13</f>
        <v>0</v>
      </c>
      <c r="G13" s="2">
        <f>'Paste here'!F13</f>
        <v>0</v>
      </c>
      <c r="H13" s="2">
        <f>'Paste here'!G13</f>
        <v>0</v>
      </c>
      <c r="I13" s="2">
        <f>'Paste here'!M13</f>
        <v>0</v>
      </c>
      <c r="J13" s="2" t="e">
        <f>IF(I13*VLOOKUP(H13,'Claim Amount'!$B$3:$J$24,8,FALSE)&lt;VLOOKUP(H13,'Claim Amount'!$B$3:$J$24,9,FALSE),VLOOKUP(H13,'Claim Amount'!$B$3:$J$24,9,FALSE),I13*VLOOKUP(H13,'Claim Amount'!$B$3:$J$24,8,FALSE))</f>
        <v>#N/A</v>
      </c>
      <c r="K13" s="2" t="e">
        <f t="shared" si="0"/>
        <v>#N/A</v>
      </c>
      <c r="L13" t="e" cm="1">
        <f t="array" ref="L13">IF(K13=0,"",[1]!SPELLNUMBER(K13))</f>
        <v>#N/A</v>
      </c>
    </row>
    <row r="14" spans="1:12" x14ac:dyDescent="0.25">
      <c r="A14" t="s">
        <v>60</v>
      </c>
      <c r="B14" t="s">
        <v>125</v>
      </c>
      <c r="C14">
        <f>'Paste here'!AQ14</f>
        <v>0</v>
      </c>
      <c r="D14">
        <f>'Paste here'!AR14</f>
        <v>0</v>
      </c>
      <c r="E14" t="s">
        <v>47</v>
      </c>
      <c r="F14">
        <f>'Paste here'!E14</f>
        <v>0</v>
      </c>
      <c r="G14" s="2">
        <f>'Paste here'!F14</f>
        <v>0</v>
      </c>
      <c r="H14" s="2">
        <f>'Paste here'!G14</f>
        <v>0</v>
      </c>
      <c r="I14" s="2">
        <f>'Paste here'!M14</f>
        <v>0</v>
      </c>
      <c r="J14" s="2" t="e">
        <f>IF(I14*VLOOKUP(H14,'Claim Amount'!$B$3:$J$24,8,FALSE)&lt;VLOOKUP(H14,'Claim Amount'!$B$3:$J$24,9,FALSE),VLOOKUP(H14,'Claim Amount'!$B$3:$J$24,9,FALSE),I14*VLOOKUP(H14,'Claim Amount'!$B$3:$J$24,8,FALSE))</f>
        <v>#N/A</v>
      </c>
      <c r="K14" s="2" t="e">
        <f t="shared" si="0"/>
        <v>#N/A</v>
      </c>
      <c r="L14" t="e" cm="1">
        <f t="array" ref="L14">IF(K14=0,"",[1]!SPELLNUMBER(K14))</f>
        <v>#N/A</v>
      </c>
    </row>
    <row r="15" spans="1:12" x14ac:dyDescent="0.25">
      <c r="A15" t="s">
        <v>61</v>
      </c>
      <c r="B15" t="s">
        <v>125</v>
      </c>
      <c r="C15">
        <f>'Paste here'!AQ15</f>
        <v>0</v>
      </c>
      <c r="D15">
        <f>'Paste here'!AR15</f>
        <v>0</v>
      </c>
      <c r="E15" t="s">
        <v>47</v>
      </c>
      <c r="F15">
        <f>'Paste here'!E15</f>
        <v>0</v>
      </c>
      <c r="G15" s="2">
        <f>'Paste here'!F15</f>
        <v>0</v>
      </c>
      <c r="H15" s="2">
        <f>'Paste here'!G15</f>
        <v>0</v>
      </c>
      <c r="I15" s="2">
        <f>'Paste here'!M15</f>
        <v>0</v>
      </c>
      <c r="J15" s="2" t="e">
        <f>IF(I15*VLOOKUP(H15,'Claim Amount'!$B$3:$J$24,8,FALSE)&lt;VLOOKUP(H15,'Claim Amount'!$B$3:$J$24,9,FALSE),VLOOKUP(H15,'Claim Amount'!$B$3:$J$24,9,FALSE),I15*VLOOKUP(H15,'Claim Amount'!$B$3:$J$24,8,FALSE))</f>
        <v>#N/A</v>
      </c>
      <c r="K15" s="2" t="e">
        <f t="shared" si="0"/>
        <v>#N/A</v>
      </c>
      <c r="L15" t="e" cm="1">
        <f t="array" ref="L15">IF(K15=0,"",[1]!SPELLNUMBER(K15))</f>
        <v>#N/A</v>
      </c>
    </row>
    <row r="16" spans="1:12" x14ac:dyDescent="0.25">
      <c r="A16" t="s">
        <v>62</v>
      </c>
      <c r="B16" t="s">
        <v>125</v>
      </c>
      <c r="C16">
        <f>'Paste here'!AQ16</f>
        <v>0</v>
      </c>
      <c r="D16">
        <f>'Paste here'!AR16</f>
        <v>0</v>
      </c>
      <c r="E16" t="s">
        <v>47</v>
      </c>
      <c r="F16">
        <f>'Paste here'!E16</f>
        <v>0</v>
      </c>
      <c r="G16" s="2">
        <f>'Paste here'!F16</f>
        <v>0</v>
      </c>
      <c r="H16" s="2">
        <f>'Paste here'!G16</f>
        <v>0</v>
      </c>
      <c r="I16" s="2">
        <f>'Paste here'!M16</f>
        <v>0</v>
      </c>
      <c r="J16" s="2" t="e">
        <f>IF(I16*VLOOKUP(H16,'Claim Amount'!$B$3:$J$24,8,FALSE)&lt;VLOOKUP(H16,'Claim Amount'!$B$3:$J$24,9,FALSE),VLOOKUP(H16,'Claim Amount'!$B$3:$J$24,9,FALSE),I16*VLOOKUP(H16,'Claim Amount'!$B$3:$J$24,8,FALSE))</f>
        <v>#N/A</v>
      </c>
      <c r="K16" s="2" t="e">
        <f t="shared" si="0"/>
        <v>#N/A</v>
      </c>
      <c r="L16" t="e" cm="1">
        <f t="array" ref="L16">IF(K16=0,"",[1]!SPELLNUMBER(K16))</f>
        <v>#N/A</v>
      </c>
    </row>
    <row r="17" spans="1:12" x14ac:dyDescent="0.25">
      <c r="A17" t="s">
        <v>63</v>
      </c>
      <c r="B17" t="s">
        <v>125</v>
      </c>
      <c r="C17">
        <f>'Paste here'!AQ17</f>
        <v>0</v>
      </c>
      <c r="D17">
        <f>'Paste here'!AR17</f>
        <v>0</v>
      </c>
      <c r="E17" t="s">
        <v>47</v>
      </c>
      <c r="F17">
        <f>'Paste here'!E17</f>
        <v>0</v>
      </c>
      <c r="G17" s="2">
        <f>'Paste here'!F17</f>
        <v>0</v>
      </c>
      <c r="H17" s="2">
        <f>'Paste here'!G17</f>
        <v>0</v>
      </c>
      <c r="I17" s="2">
        <f>'Paste here'!M17</f>
        <v>0</v>
      </c>
      <c r="J17" s="2" t="e">
        <f>IF(I17*VLOOKUP(H17,'Claim Amount'!$B$3:$J$24,8,FALSE)&lt;VLOOKUP(H17,'Claim Amount'!$B$3:$J$24,9,FALSE),VLOOKUP(H17,'Claim Amount'!$B$3:$J$24,9,FALSE),I17*VLOOKUP(H17,'Claim Amount'!$B$3:$J$24,8,FALSE))</f>
        <v>#N/A</v>
      </c>
      <c r="K17" s="2" t="e">
        <f t="shared" si="0"/>
        <v>#N/A</v>
      </c>
      <c r="L17" t="e" cm="1">
        <f t="array" ref="L17">IF(K17=0,"",[1]!SPELLNUMBER(K17))</f>
        <v>#N/A</v>
      </c>
    </row>
    <row r="18" spans="1:12" x14ac:dyDescent="0.25">
      <c r="A18" t="s">
        <v>64</v>
      </c>
      <c r="B18" t="s">
        <v>125</v>
      </c>
      <c r="C18">
        <f>'Paste here'!AQ18</f>
        <v>0</v>
      </c>
      <c r="D18">
        <f>'Paste here'!AR18</f>
        <v>0</v>
      </c>
      <c r="E18" t="s">
        <v>47</v>
      </c>
      <c r="F18">
        <f>'Paste here'!E18</f>
        <v>0</v>
      </c>
      <c r="G18" s="2">
        <f>'Paste here'!F18</f>
        <v>0</v>
      </c>
      <c r="H18" s="2">
        <f>'Paste here'!G18</f>
        <v>0</v>
      </c>
      <c r="I18" s="2">
        <f>'Paste here'!M18</f>
        <v>0</v>
      </c>
      <c r="J18" s="2" t="e">
        <f>IF(I18*VLOOKUP(H18,'Claim Amount'!$B$3:$J$24,8,FALSE)&lt;VLOOKUP(H18,'Claim Amount'!$B$3:$J$24,9,FALSE),VLOOKUP(H18,'Claim Amount'!$B$3:$J$24,9,FALSE),I18*VLOOKUP(H18,'Claim Amount'!$B$3:$J$24,8,FALSE))</f>
        <v>#N/A</v>
      </c>
      <c r="K18" s="2" t="e">
        <f t="shared" si="0"/>
        <v>#N/A</v>
      </c>
      <c r="L18" t="e" cm="1">
        <f t="array" ref="L18">IF(K18=0,"",[1]!SPELLNUMBER(K18))</f>
        <v>#N/A</v>
      </c>
    </row>
    <row r="19" spans="1:12" x14ac:dyDescent="0.25">
      <c r="A19" t="s">
        <v>65</v>
      </c>
      <c r="B19" t="s">
        <v>125</v>
      </c>
      <c r="C19">
        <f>'Paste here'!AQ19</f>
        <v>0</v>
      </c>
      <c r="D19">
        <f>'Paste here'!AR19</f>
        <v>0</v>
      </c>
      <c r="E19" t="s">
        <v>47</v>
      </c>
      <c r="F19">
        <f>'Paste here'!E19</f>
        <v>0</v>
      </c>
      <c r="G19" s="2">
        <f>'Paste here'!F19</f>
        <v>0</v>
      </c>
      <c r="H19" s="2">
        <f>'Paste here'!G19</f>
        <v>0</v>
      </c>
      <c r="I19" s="2">
        <f>'Paste here'!M19</f>
        <v>0</v>
      </c>
      <c r="J19" s="2" t="e">
        <f>IF(I19*VLOOKUP(H19,'Claim Amount'!$B$3:$J$24,8,FALSE)&lt;VLOOKUP(H19,'Claim Amount'!$B$3:$J$24,9,FALSE),VLOOKUP(H19,'Claim Amount'!$B$3:$J$24,9,FALSE),I19*VLOOKUP(H19,'Claim Amount'!$B$3:$J$24,8,FALSE))</f>
        <v>#N/A</v>
      </c>
      <c r="K19" s="2" t="e">
        <f t="shared" si="0"/>
        <v>#N/A</v>
      </c>
      <c r="L19" t="e" cm="1">
        <f t="array" ref="L19">IF(K19=0,"",[1]!SPELLNUMBER(K19))</f>
        <v>#N/A</v>
      </c>
    </row>
    <row r="20" spans="1:12" x14ac:dyDescent="0.25">
      <c r="A20" t="s">
        <v>66</v>
      </c>
      <c r="B20" t="s">
        <v>125</v>
      </c>
      <c r="C20">
        <f>'Paste here'!AQ20</f>
        <v>0</v>
      </c>
      <c r="D20">
        <f>'Paste here'!AR20</f>
        <v>0</v>
      </c>
      <c r="E20" t="s">
        <v>47</v>
      </c>
      <c r="F20">
        <f>'Paste here'!E20</f>
        <v>0</v>
      </c>
      <c r="G20" s="2">
        <f>'Paste here'!F20</f>
        <v>0</v>
      </c>
      <c r="H20" s="2">
        <f>'Paste here'!G20</f>
        <v>0</v>
      </c>
      <c r="I20" s="2">
        <f>'Paste here'!M20</f>
        <v>0</v>
      </c>
      <c r="J20" s="2" t="e">
        <f>IF(I20*VLOOKUP(H20,'Claim Amount'!$B$3:$J$24,8,FALSE)&lt;VLOOKUP(H20,'Claim Amount'!$B$3:$J$24,9,FALSE),VLOOKUP(H20,'Claim Amount'!$B$3:$J$24,9,FALSE),I20*VLOOKUP(H20,'Claim Amount'!$B$3:$J$24,8,FALSE))</f>
        <v>#N/A</v>
      </c>
      <c r="K20" s="2" t="e">
        <f t="shared" si="0"/>
        <v>#N/A</v>
      </c>
      <c r="L20" t="e" cm="1">
        <f t="array" ref="L20">IF(K20=0,"",[1]!SPELLNUMBER(K20))</f>
        <v>#N/A</v>
      </c>
    </row>
    <row r="21" spans="1:12" x14ac:dyDescent="0.25">
      <c r="A21" t="s">
        <v>67</v>
      </c>
      <c r="B21" t="s">
        <v>125</v>
      </c>
      <c r="C21">
        <f>'Paste here'!AQ21</f>
        <v>0</v>
      </c>
      <c r="D21">
        <f>'Paste here'!AR21</f>
        <v>0</v>
      </c>
      <c r="E21" t="s">
        <v>47</v>
      </c>
      <c r="F21">
        <f>'Paste here'!E21</f>
        <v>0</v>
      </c>
      <c r="G21" s="2">
        <f>'Paste here'!F21</f>
        <v>0</v>
      </c>
      <c r="H21" s="2">
        <f>'Paste here'!G21</f>
        <v>0</v>
      </c>
      <c r="I21" s="2">
        <f>'Paste here'!M21</f>
        <v>0</v>
      </c>
      <c r="J21" s="2" t="e">
        <f>IF(I21*VLOOKUP(H21,'Claim Amount'!$B$3:$J$24,8,FALSE)&lt;VLOOKUP(H21,'Claim Amount'!$B$3:$J$24,9,FALSE),VLOOKUP(H21,'Claim Amount'!$B$3:$J$24,9,FALSE),I21*VLOOKUP(H21,'Claim Amount'!$B$3:$J$24,8,FALSE))</f>
        <v>#N/A</v>
      </c>
      <c r="K21" s="2" t="e">
        <f t="shared" si="0"/>
        <v>#N/A</v>
      </c>
      <c r="L21" t="e" cm="1">
        <f t="array" ref="L21">IF(K21=0,"",[1]!SPELLNUMBER(K21))</f>
        <v>#N/A</v>
      </c>
    </row>
    <row r="22" spans="1:12" x14ac:dyDescent="0.25">
      <c r="A22" t="s">
        <v>68</v>
      </c>
      <c r="B22" t="s">
        <v>125</v>
      </c>
      <c r="C22">
        <f>'Paste here'!AQ22</f>
        <v>0</v>
      </c>
      <c r="D22">
        <f>'Paste here'!AR22</f>
        <v>0</v>
      </c>
      <c r="E22" t="s">
        <v>47</v>
      </c>
      <c r="F22">
        <f>'Paste here'!E22</f>
        <v>0</v>
      </c>
      <c r="G22" s="2">
        <f>'Paste here'!F22</f>
        <v>0</v>
      </c>
      <c r="H22" s="2">
        <f>'Paste here'!G22</f>
        <v>0</v>
      </c>
      <c r="I22" s="2">
        <f>'Paste here'!M22</f>
        <v>0</v>
      </c>
      <c r="J22" s="2" t="e">
        <f>IF(I22*VLOOKUP(H22,'Claim Amount'!$B$3:$J$24,8,FALSE)&lt;VLOOKUP(H22,'Claim Amount'!$B$3:$J$24,9,FALSE),VLOOKUP(H22,'Claim Amount'!$B$3:$J$24,9,FALSE),I22*VLOOKUP(H22,'Claim Amount'!$B$3:$J$24,8,FALSE))</f>
        <v>#N/A</v>
      </c>
      <c r="K22" s="2" t="e">
        <f t="shared" si="0"/>
        <v>#N/A</v>
      </c>
      <c r="L22" t="e" cm="1">
        <f t="array" ref="L22">IF(K22=0,"",[1]!SPELLNUMBER(K22))</f>
        <v>#N/A</v>
      </c>
    </row>
    <row r="23" spans="1:12" x14ac:dyDescent="0.25">
      <c r="A23" t="s">
        <v>69</v>
      </c>
      <c r="B23" t="s">
        <v>125</v>
      </c>
      <c r="C23">
        <f>'Paste here'!AQ23</f>
        <v>0</v>
      </c>
      <c r="D23">
        <f>'Paste here'!AR23</f>
        <v>0</v>
      </c>
      <c r="E23" t="s">
        <v>47</v>
      </c>
      <c r="F23">
        <f>'Paste here'!E23</f>
        <v>0</v>
      </c>
      <c r="G23" s="2">
        <f>'Paste here'!F23</f>
        <v>0</v>
      </c>
      <c r="H23" s="2">
        <f>'Paste here'!G23</f>
        <v>0</v>
      </c>
      <c r="I23" s="2">
        <f>'Paste here'!M23</f>
        <v>0</v>
      </c>
      <c r="J23" s="2" t="e">
        <f>IF(I23*VLOOKUP(H23,'Claim Amount'!$B$3:$J$24,8,FALSE)&lt;VLOOKUP(H23,'Claim Amount'!$B$3:$J$24,9,FALSE),VLOOKUP(H23,'Claim Amount'!$B$3:$J$24,9,FALSE),I23*VLOOKUP(H23,'Claim Amount'!$B$3:$J$24,8,FALSE))</f>
        <v>#N/A</v>
      </c>
      <c r="K23" s="2" t="e">
        <f t="shared" si="0"/>
        <v>#N/A</v>
      </c>
      <c r="L23" t="e" cm="1">
        <f t="array" ref="L23">IF(K23=0,"",[1]!SPELLNUMBER(K23))</f>
        <v>#N/A</v>
      </c>
    </row>
    <row r="24" spans="1:12" x14ac:dyDescent="0.25">
      <c r="A24" t="s">
        <v>70</v>
      </c>
      <c r="B24" t="s">
        <v>125</v>
      </c>
      <c r="C24">
        <f>'Paste here'!AQ24</f>
        <v>0</v>
      </c>
      <c r="D24">
        <f>'Paste here'!AR24</f>
        <v>0</v>
      </c>
      <c r="E24" t="s">
        <v>47</v>
      </c>
      <c r="F24">
        <f>'Paste here'!E24</f>
        <v>0</v>
      </c>
      <c r="G24" s="2">
        <f>'Paste here'!F24</f>
        <v>0</v>
      </c>
      <c r="H24" s="2">
        <f>'Paste here'!G24</f>
        <v>0</v>
      </c>
      <c r="I24" s="2">
        <f>'Paste here'!M24</f>
        <v>0</v>
      </c>
      <c r="J24" s="2" t="e">
        <f>IF(I24*VLOOKUP(H24,'Claim Amount'!$B$3:$J$24,8,FALSE)&lt;VLOOKUP(H24,'Claim Amount'!$B$3:$J$24,9,FALSE),VLOOKUP(H24,'Claim Amount'!$B$3:$J$24,9,FALSE),I24*VLOOKUP(H24,'Claim Amount'!$B$3:$J$24,8,FALSE))</f>
        <v>#N/A</v>
      </c>
      <c r="K24" s="2" t="e">
        <f t="shared" si="0"/>
        <v>#N/A</v>
      </c>
      <c r="L24" t="e" cm="1">
        <f t="array" ref="L24">IF(K24=0,"",[1]!SPELLNUMBER(K24))</f>
        <v>#N/A</v>
      </c>
    </row>
    <row r="25" spans="1:12" x14ac:dyDescent="0.25">
      <c r="A25" t="s">
        <v>71</v>
      </c>
      <c r="B25" t="s">
        <v>125</v>
      </c>
      <c r="C25">
        <f>'Paste here'!AQ25</f>
        <v>0</v>
      </c>
      <c r="D25">
        <f>'Paste here'!AR25</f>
        <v>0</v>
      </c>
      <c r="E25" t="s">
        <v>47</v>
      </c>
      <c r="F25">
        <f>'Paste here'!E25</f>
        <v>0</v>
      </c>
      <c r="G25" s="2">
        <f>'Paste here'!F25</f>
        <v>0</v>
      </c>
      <c r="H25" s="2">
        <f>'Paste here'!G25</f>
        <v>0</v>
      </c>
      <c r="I25" s="2">
        <f>'Paste here'!M25</f>
        <v>0</v>
      </c>
      <c r="J25" s="2" t="e">
        <f>IF(I25*VLOOKUP(H25,'Claim Amount'!$B$3:$J$24,8,FALSE)&lt;VLOOKUP(H25,'Claim Amount'!$B$3:$J$24,9,FALSE),VLOOKUP(H25,'Claim Amount'!$B$3:$J$24,9,FALSE),I25*VLOOKUP(H25,'Claim Amount'!$B$3:$J$24,8,FALSE))</f>
        <v>#N/A</v>
      </c>
      <c r="K25" s="2" t="e">
        <f t="shared" si="0"/>
        <v>#N/A</v>
      </c>
      <c r="L25" t="e" cm="1">
        <f t="array" ref="L25">IF(K25=0,"",[1]!SPELLNUMBER(K25))</f>
        <v>#N/A</v>
      </c>
    </row>
    <row r="26" spans="1:12" x14ac:dyDescent="0.25">
      <c r="A26" t="s">
        <v>72</v>
      </c>
      <c r="B26" t="s">
        <v>125</v>
      </c>
      <c r="C26">
        <f>'Paste here'!AQ26</f>
        <v>0</v>
      </c>
      <c r="D26">
        <f>'Paste here'!AR26</f>
        <v>0</v>
      </c>
      <c r="E26" t="s">
        <v>47</v>
      </c>
      <c r="F26">
        <f>'Paste here'!E26</f>
        <v>0</v>
      </c>
      <c r="G26" s="2">
        <f>'Paste here'!F26</f>
        <v>0</v>
      </c>
      <c r="H26" s="2">
        <f>'Paste here'!G26</f>
        <v>0</v>
      </c>
      <c r="I26" s="2">
        <f>'Paste here'!M26</f>
        <v>0</v>
      </c>
      <c r="J26" s="2" t="e">
        <f>IF(I26*VLOOKUP(H26,'Claim Amount'!$B$3:$J$24,8,FALSE)&lt;VLOOKUP(H26,'Claim Amount'!$B$3:$J$24,9,FALSE),VLOOKUP(H26,'Claim Amount'!$B$3:$J$24,9,FALSE),I26*VLOOKUP(H26,'Claim Amount'!$B$3:$J$24,8,FALSE))</f>
        <v>#N/A</v>
      </c>
      <c r="K26" s="2" t="e">
        <f t="shared" si="0"/>
        <v>#N/A</v>
      </c>
      <c r="L26" t="e" cm="1">
        <f t="array" ref="L26">IF(K26=0,"",[1]!SPELLNUMBER(K26))</f>
        <v>#N/A</v>
      </c>
    </row>
    <row r="27" spans="1:12" x14ac:dyDescent="0.25">
      <c r="A27" t="s">
        <v>73</v>
      </c>
      <c r="B27" t="s">
        <v>125</v>
      </c>
      <c r="C27">
        <f>'Paste here'!AQ27</f>
        <v>0</v>
      </c>
      <c r="D27">
        <f>'Paste here'!AR27</f>
        <v>0</v>
      </c>
      <c r="E27" t="s">
        <v>47</v>
      </c>
      <c r="F27">
        <f>'Paste here'!E27</f>
        <v>0</v>
      </c>
      <c r="G27" s="2">
        <f>'Paste here'!F27</f>
        <v>0</v>
      </c>
      <c r="H27" s="2">
        <f>'Paste here'!G27</f>
        <v>0</v>
      </c>
      <c r="I27" s="2">
        <f>'Paste here'!M27</f>
        <v>0</v>
      </c>
      <c r="J27" s="2" t="e">
        <f>IF(I27*VLOOKUP(H27,'Claim Amount'!$B$3:$J$24,8,FALSE)&lt;VLOOKUP(H27,'Claim Amount'!$B$3:$J$24,9,FALSE),VLOOKUP(H27,'Claim Amount'!$B$3:$J$24,9,FALSE),I27*VLOOKUP(H27,'Claim Amount'!$B$3:$J$24,8,FALSE))</f>
        <v>#N/A</v>
      </c>
      <c r="K27" s="2" t="e">
        <f t="shared" si="0"/>
        <v>#N/A</v>
      </c>
      <c r="L27" t="e" cm="1">
        <f t="array" ref="L27">IF(K27=0,"",[1]!SPELLNUMBER(K27))</f>
        <v>#N/A</v>
      </c>
    </row>
    <row r="28" spans="1:12" x14ac:dyDescent="0.25">
      <c r="A28" t="s">
        <v>74</v>
      </c>
      <c r="B28" t="s">
        <v>125</v>
      </c>
      <c r="C28">
        <f>'Paste here'!AQ28</f>
        <v>0</v>
      </c>
      <c r="D28">
        <f>'Paste here'!AR28</f>
        <v>0</v>
      </c>
      <c r="E28" t="s">
        <v>47</v>
      </c>
      <c r="F28">
        <f>'Paste here'!E28</f>
        <v>0</v>
      </c>
      <c r="G28" s="2">
        <f>'Paste here'!F28</f>
        <v>0</v>
      </c>
      <c r="H28" s="2">
        <f>'Paste here'!G28</f>
        <v>0</v>
      </c>
      <c r="I28" s="2">
        <f>'Paste here'!M28</f>
        <v>0</v>
      </c>
      <c r="J28" s="2" t="e">
        <f>IF(I28*VLOOKUP(H28,'Claim Amount'!$B$3:$J$24,8,FALSE)&lt;VLOOKUP(H28,'Claim Amount'!$B$3:$J$24,9,FALSE),VLOOKUP(H28,'Claim Amount'!$B$3:$J$24,9,FALSE),I28*VLOOKUP(H28,'Claim Amount'!$B$3:$J$24,8,FALSE))</f>
        <v>#N/A</v>
      </c>
      <c r="K28" s="2" t="e">
        <f t="shared" si="0"/>
        <v>#N/A</v>
      </c>
      <c r="L28" t="e" cm="1">
        <f t="array" ref="L28">IF(K28=0,"",[1]!SPELLNUMBER(K28))</f>
        <v>#N/A</v>
      </c>
    </row>
    <row r="29" spans="1:12" x14ac:dyDescent="0.25">
      <c r="A29" t="s">
        <v>75</v>
      </c>
      <c r="B29" t="s">
        <v>125</v>
      </c>
      <c r="C29">
        <f>'Paste here'!AQ29</f>
        <v>0</v>
      </c>
      <c r="D29">
        <f>'Paste here'!AR29</f>
        <v>0</v>
      </c>
      <c r="E29" t="s">
        <v>47</v>
      </c>
      <c r="F29">
        <f>'Paste here'!E29</f>
        <v>0</v>
      </c>
      <c r="G29" s="2">
        <f>'Paste here'!F29</f>
        <v>0</v>
      </c>
      <c r="H29" s="2">
        <f>'Paste here'!G29</f>
        <v>0</v>
      </c>
      <c r="I29" s="2">
        <f>'Paste here'!M29</f>
        <v>0</v>
      </c>
      <c r="J29" s="2" t="e">
        <f>IF(I29*VLOOKUP(H29,'Claim Amount'!$B$3:$J$24,8,FALSE)&lt;VLOOKUP(H29,'Claim Amount'!$B$3:$J$24,9,FALSE),VLOOKUP(H29,'Claim Amount'!$B$3:$J$24,9,FALSE),I29*VLOOKUP(H29,'Claim Amount'!$B$3:$J$24,8,FALSE))</f>
        <v>#N/A</v>
      </c>
      <c r="K29" s="2" t="e">
        <f t="shared" si="0"/>
        <v>#N/A</v>
      </c>
      <c r="L29" t="e" cm="1">
        <f t="array" ref="L29">IF(K29=0,"",[1]!SPELLNUMBER(K29))</f>
        <v>#N/A</v>
      </c>
    </row>
    <row r="30" spans="1:12" x14ac:dyDescent="0.25">
      <c r="A30" t="s">
        <v>76</v>
      </c>
      <c r="B30" t="s">
        <v>125</v>
      </c>
      <c r="C30">
        <f>'Paste here'!AQ30</f>
        <v>0</v>
      </c>
      <c r="D30">
        <f>'Paste here'!AR30</f>
        <v>0</v>
      </c>
      <c r="E30" t="s">
        <v>47</v>
      </c>
      <c r="F30">
        <f>'Paste here'!E30</f>
        <v>0</v>
      </c>
      <c r="G30" s="2">
        <f>'Paste here'!F30</f>
        <v>0</v>
      </c>
      <c r="H30" s="2">
        <f>'Paste here'!G30</f>
        <v>0</v>
      </c>
      <c r="I30" s="2">
        <f>'Paste here'!M30</f>
        <v>0</v>
      </c>
      <c r="J30" s="2" t="e">
        <f>IF(I30*VLOOKUP(H30,'Claim Amount'!$B$3:$J$24,8,FALSE)&lt;VLOOKUP(H30,'Claim Amount'!$B$3:$J$24,9,FALSE),VLOOKUP(H30,'Claim Amount'!$B$3:$J$24,9,FALSE),I30*VLOOKUP(H30,'Claim Amount'!$B$3:$J$24,8,FALSE))</f>
        <v>#N/A</v>
      </c>
      <c r="K30" s="2" t="e">
        <f t="shared" si="0"/>
        <v>#N/A</v>
      </c>
      <c r="L30" t="e" cm="1">
        <f t="array" ref="L30">IF(K30=0,"",[1]!SPELLNUMBER(K30))</f>
        <v>#N/A</v>
      </c>
    </row>
    <row r="31" spans="1:12" x14ac:dyDescent="0.25">
      <c r="A31" t="s">
        <v>77</v>
      </c>
      <c r="B31" t="s">
        <v>125</v>
      </c>
      <c r="C31">
        <f>'Paste here'!AQ31</f>
        <v>0</v>
      </c>
      <c r="D31">
        <f>'Paste here'!AR31</f>
        <v>0</v>
      </c>
      <c r="E31" t="s">
        <v>47</v>
      </c>
      <c r="F31">
        <f>'Paste here'!E31</f>
        <v>0</v>
      </c>
      <c r="G31" s="2">
        <f>'Paste here'!F31</f>
        <v>0</v>
      </c>
      <c r="H31" s="2">
        <f>'Paste here'!G31</f>
        <v>0</v>
      </c>
      <c r="I31" s="2">
        <f>'Paste here'!M31</f>
        <v>0</v>
      </c>
      <c r="J31" s="2" t="e">
        <f>IF(I31*VLOOKUP(H31,'Claim Amount'!$B$3:$J$24,8,FALSE)&lt;VLOOKUP(H31,'Claim Amount'!$B$3:$J$24,9,FALSE),VLOOKUP(H31,'Claim Amount'!$B$3:$J$24,9,FALSE),I31*VLOOKUP(H31,'Claim Amount'!$B$3:$J$24,8,FALSE))</f>
        <v>#N/A</v>
      </c>
      <c r="K31" s="2" t="e">
        <f t="shared" si="0"/>
        <v>#N/A</v>
      </c>
      <c r="L31" t="e" cm="1">
        <f t="array" ref="L31">IF(K31=0,"",[1]!SPELLNUMBER(K31))</f>
        <v>#N/A</v>
      </c>
    </row>
    <row r="32" spans="1:12" x14ac:dyDescent="0.25">
      <c r="A32" t="s">
        <v>80</v>
      </c>
      <c r="B32" t="s">
        <v>125</v>
      </c>
      <c r="C32">
        <f>'Paste here'!AQ32</f>
        <v>0</v>
      </c>
      <c r="D32">
        <f>'Paste here'!AR32</f>
        <v>0</v>
      </c>
      <c r="E32" t="s">
        <v>47</v>
      </c>
      <c r="F32">
        <f>'Paste here'!E32</f>
        <v>0</v>
      </c>
      <c r="G32" s="2">
        <f>'Paste here'!F32</f>
        <v>0</v>
      </c>
      <c r="H32" s="2">
        <f>'Paste here'!G32</f>
        <v>0</v>
      </c>
      <c r="I32" s="2">
        <f>'Paste here'!M32</f>
        <v>0</v>
      </c>
      <c r="J32" s="2" t="e">
        <f>IF(I32*VLOOKUP(H32,'Claim Amount'!$B$3:$J$24,8,FALSE)&lt;VLOOKUP(H32,'Claim Amount'!$B$3:$J$24,9,FALSE),VLOOKUP(H32,'Claim Amount'!$B$3:$J$24,9,FALSE),I32*VLOOKUP(H32,'Claim Amount'!$B$3:$J$24,8,FALSE))</f>
        <v>#N/A</v>
      </c>
      <c r="K32" s="2" t="e">
        <f t="shared" si="0"/>
        <v>#N/A</v>
      </c>
      <c r="L32" t="e" cm="1">
        <f t="array" ref="L32">IF(K32=0,"",[1]!SPELLNUMBER(K32))</f>
        <v>#N/A</v>
      </c>
    </row>
    <row r="33" spans="1:12" x14ac:dyDescent="0.25">
      <c r="A33" t="s">
        <v>81</v>
      </c>
      <c r="B33" t="s">
        <v>125</v>
      </c>
      <c r="C33">
        <f>'Paste here'!AQ33</f>
        <v>0</v>
      </c>
      <c r="D33">
        <f>'Paste here'!AR33</f>
        <v>0</v>
      </c>
      <c r="E33" t="s">
        <v>47</v>
      </c>
      <c r="F33">
        <f>'Paste here'!E33</f>
        <v>0</v>
      </c>
      <c r="G33" s="2">
        <f>'Paste here'!F33</f>
        <v>0</v>
      </c>
      <c r="H33" s="2">
        <f>'Paste here'!G33</f>
        <v>0</v>
      </c>
      <c r="I33" s="2">
        <f>'Paste here'!M33</f>
        <v>0</v>
      </c>
      <c r="J33" s="2" t="e">
        <f>IF(I33*VLOOKUP(H33,'Claim Amount'!$B$3:$J$24,8,FALSE)&lt;VLOOKUP(H33,'Claim Amount'!$B$3:$J$24,9,FALSE),VLOOKUP(H33,'Claim Amount'!$B$3:$J$24,9,FALSE),I33*VLOOKUP(H33,'Claim Amount'!$B$3:$J$24,8,FALSE))</f>
        <v>#N/A</v>
      </c>
      <c r="K33" s="2" t="e">
        <f t="shared" si="0"/>
        <v>#N/A</v>
      </c>
      <c r="L33" t="e" cm="1">
        <f t="array" ref="L33">IF(K33=0,"",[1]!SPELLNUMBER(K33))</f>
        <v>#N/A</v>
      </c>
    </row>
    <row r="34" spans="1:12" x14ac:dyDescent="0.25">
      <c r="A34" t="s">
        <v>82</v>
      </c>
      <c r="B34" t="s">
        <v>125</v>
      </c>
      <c r="C34">
        <f>'Paste here'!AQ34</f>
        <v>0</v>
      </c>
      <c r="D34">
        <f>'Paste here'!AR34</f>
        <v>0</v>
      </c>
      <c r="E34" t="s">
        <v>47</v>
      </c>
      <c r="F34">
        <f>'Paste here'!E34</f>
        <v>0</v>
      </c>
      <c r="G34" s="2">
        <f>'Paste here'!F34</f>
        <v>0</v>
      </c>
      <c r="H34" s="2">
        <f>'Paste here'!G34</f>
        <v>0</v>
      </c>
      <c r="I34" s="2">
        <f>'Paste here'!M34</f>
        <v>0</v>
      </c>
      <c r="J34" s="2" t="e">
        <f>IF(I34*VLOOKUP(H34,'Claim Amount'!$B$3:$J$24,8,FALSE)&lt;VLOOKUP(H34,'Claim Amount'!$B$3:$J$24,9,FALSE),VLOOKUP(H34,'Claim Amount'!$B$3:$J$24,9,FALSE),I34*VLOOKUP(H34,'Claim Amount'!$B$3:$J$24,8,FALSE))</f>
        <v>#N/A</v>
      </c>
      <c r="K34" s="2" t="e">
        <f t="shared" si="0"/>
        <v>#N/A</v>
      </c>
      <c r="L34" t="e" cm="1">
        <f t="array" ref="L34">IF(K34=0,"",[1]!SPELLNUMBER(K34))</f>
        <v>#N/A</v>
      </c>
    </row>
    <row r="35" spans="1:12" x14ac:dyDescent="0.25">
      <c r="A35" t="s">
        <v>83</v>
      </c>
      <c r="B35" t="s">
        <v>125</v>
      </c>
      <c r="C35">
        <f>'Paste here'!AQ35</f>
        <v>0</v>
      </c>
      <c r="D35">
        <f>'Paste here'!AR35</f>
        <v>0</v>
      </c>
      <c r="E35" t="s">
        <v>47</v>
      </c>
      <c r="F35">
        <f>'Paste here'!E35</f>
        <v>0</v>
      </c>
      <c r="G35" s="2">
        <f>'Paste here'!F35</f>
        <v>0</v>
      </c>
      <c r="H35" s="2">
        <f>'Paste here'!G35</f>
        <v>0</v>
      </c>
      <c r="I35" s="2">
        <f>'Paste here'!M35</f>
        <v>0</v>
      </c>
      <c r="J35" s="2" t="e">
        <f>IF(I35*VLOOKUP(H35,'Claim Amount'!$B$3:$J$24,8,FALSE)&lt;VLOOKUP(H35,'Claim Amount'!$B$3:$J$24,9,FALSE),VLOOKUP(H35,'Claim Amount'!$B$3:$J$24,9,FALSE),I35*VLOOKUP(H35,'Claim Amount'!$B$3:$J$24,8,FALSE))</f>
        <v>#N/A</v>
      </c>
      <c r="K35" s="2" t="e">
        <f t="shared" si="0"/>
        <v>#N/A</v>
      </c>
      <c r="L35" t="e" cm="1">
        <f t="array" ref="L35">IF(K35=0,"",[1]!SPELLNUMBER(K35))</f>
        <v>#N/A</v>
      </c>
    </row>
    <row r="36" spans="1:12" x14ac:dyDescent="0.25">
      <c r="A36" t="s">
        <v>84</v>
      </c>
      <c r="B36" t="s">
        <v>125</v>
      </c>
      <c r="C36">
        <f>'Paste here'!AQ36</f>
        <v>0</v>
      </c>
      <c r="D36">
        <f>'Paste here'!AR36</f>
        <v>0</v>
      </c>
      <c r="E36" t="s">
        <v>47</v>
      </c>
      <c r="F36">
        <f>'Paste here'!E36</f>
        <v>0</v>
      </c>
      <c r="G36" s="2">
        <f>'Paste here'!F36</f>
        <v>0</v>
      </c>
      <c r="H36" s="2">
        <f>'Paste here'!G36</f>
        <v>0</v>
      </c>
      <c r="I36" s="2">
        <f>'Paste here'!M36</f>
        <v>0</v>
      </c>
      <c r="J36" s="2" t="e">
        <f>IF(I36*VLOOKUP(H36,'Claim Amount'!$B$3:$J$24,8,FALSE)&lt;VLOOKUP(H36,'Claim Amount'!$B$3:$J$24,9,FALSE),VLOOKUP(H36,'Claim Amount'!$B$3:$J$24,9,FALSE),I36*VLOOKUP(H36,'Claim Amount'!$B$3:$J$24,8,FALSE))</f>
        <v>#N/A</v>
      </c>
      <c r="K36" s="2" t="e">
        <f t="shared" si="0"/>
        <v>#N/A</v>
      </c>
      <c r="L36" t="e" cm="1">
        <f t="array" ref="L36">IF(K36=0,"",[1]!SPELLNUMBER(K36))</f>
        <v>#N/A</v>
      </c>
    </row>
    <row r="37" spans="1:12" x14ac:dyDescent="0.25">
      <c r="A37" t="s">
        <v>85</v>
      </c>
      <c r="B37" t="s">
        <v>125</v>
      </c>
      <c r="C37">
        <f>'Paste here'!AQ37</f>
        <v>0</v>
      </c>
      <c r="D37">
        <f>'Paste here'!AR37</f>
        <v>0</v>
      </c>
      <c r="E37" t="s">
        <v>47</v>
      </c>
      <c r="F37">
        <f>'Paste here'!E37</f>
        <v>0</v>
      </c>
      <c r="G37" s="2">
        <f>'Paste here'!F37</f>
        <v>0</v>
      </c>
      <c r="H37" s="2">
        <f>'Paste here'!G37</f>
        <v>0</v>
      </c>
      <c r="I37" s="2">
        <f>'Paste here'!M37</f>
        <v>0</v>
      </c>
      <c r="J37" s="2" t="e">
        <f>IF(I37*VLOOKUP(H37,'Claim Amount'!$B$3:$J$24,8,FALSE)&lt;VLOOKUP(H37,'Claim Amount'!$B$3:$J$24,9,FALSE),VLOOKUP(H37,'Claim Amount'!$B$3:$J$24,9,FALSE),I37*VLOOKUP(H37,'Claim Amount'!$B$3:$J$24,8,FALSE))</f>
        <v>#N/A</v>
      </c>
      <c r="K37" s="2" t="e">
        <f t="shared" si="0"/>
        <v>#N/A</v>
      </c>
      <c r="L37" t="e" cm="1">
        <f t="array" ref="L37">IF(K37=0,"",[1]!SPELLNUMBER(K37))</f>
        <v>#N/A</v>
      </c>
    </row>
    <row r="38" spans="1:12" x14ac:dyDescent="0.25">
      <c r="A38" t="s">
        <v>86</v>
      </c>
      <c r="B38" t="s">
        <v>125</v>
      </c>
      <c r="C38">
        <f>'Paste here'!AQ38</f>
        <v>0</v>
      </c>
      <c r="D38">
        <f>'Paste here'!AR38</f>
        <v>0</v>
      </c>
      <c r="E38" t="s">
        <v>47</v>
      </c>
      <c r="F38">
        <f>'Paste here'!E38</f>
        <v>0</v>
      </c>
      <c r="G38" s="2">
        <f>'Paste here'!F38</f>
        <v>0</v>
      </c>
      <c r="H38" s="2">
        <f>'Paste here'!G38</f>
        <v>0</v>
      </c>
      <c r="I38" s="2">
        <f>'Paste here'!M38</f>
        <v>0</v>
      </c>
      <c r="J38" s="2" t="e">
        <f>IF(I38*VLOOKUP(H38,'Claim Amount'!$B$3:$J$24,8,FALSE)&lt;VLOOKUP(H38,'Claim Amount'!$B$3:$J$24,9,FALSE),VLOOKUP(H38,'Claim Amount'!$B$3:$J$24,9,FALSE),I38*VLOOKUP(H38,'Claim Amount'!$B$3:$J$24,8,FALSE))</f>
        <v>#N/A</v>
      </c>
      <c r="K38" s="2" t="e">
        <f t="shared" si="0"/>
        <v>#N/A</v>
      </c>
      <c r="L38" t="e" cm="1">
        <f t="array" ref="L38">IF(K38=0,"",[1]!SPELLNUMBER(K38))</f>
        <v>#N/A</v>
      </c>
    </row>
    <row r="39" spans="1:12" x14ac:dyDescent="0.25">
      <c r="A39" t="s">
        <v>87</v>
      </c>
      <c r="B39" t="s">
        <v>125</v>
      </c>
      <c r="C39">
        <f>'Paste here'!AQ39</f>
        <v>0</v>
      </c>
      <c r="D39">
        <f>'Paste here'!AR39</f>
        <v>0</v>
      </c>
      <c r="E39" t="s">
        <v>47</v>
      </c>
      <c r="F39">
        <f>'Paste here'!E39</f>
        <v>0</v>
      </c>
      <c r="G39" s="2">
        <f>'Paste here'!F39</f>
        <v>0</v>
      </c>
      <c r="H39" s="2">
        <f>'Paste here'!G39</f>
        <v>0</v>
      </c>
      <c r="I39" s="2">
        <f>'Paste here'!M39</f>
        <v>0</v>
      </c>
      <c r="J39" s="2" t="e">
        <f>IF(I39*VLOOKUP(H39,'Claim Amount'!$B$3:$J$24,8,FALSE)&lt;VLOOKUP(H39,'Claim Amount'!$B$3:$J$24,9,FALSE),VLOOKUP(H39,'Claim Amount'!$B$3:$J$24,9,FALSE),I39*VLOOKUP(H39,'Claim Amount'!$B$3:$J$24,8,FALSE))</f>
        <v>#N/A</v>
      </c>
      <c r="K39" s="2" t="e">
        <f t="shared" si="0"/>
        <v>#N/A</v>
      </c>
      <c r="L39" t="e" cm="1">
        <f t="array" ref="L39">IF(K39=0,"",[1]!SPELLNUMBER(K39))</f>
        <v>#N/A</v>
      </c>
    </row>
    <row r="40" spans="1:12" x14ac:dyDescent="0.25">
      <c r="A40" t="s">
        <v>88</v>
      </c>
      <c r="B40" t="s">
        <v>125</v>
      </c>
      <c r="C40">
        <f>'Paste here'!AQ40</f>
        <v>0</v>
      </c>
      <c r="D40">
        <f>'Paste here'!AR40</f>
        <v>0</v>
      </c>
      <c r="E40" t="s">
        <v>47</v>
      </c>
      <c r="F40">
        <f>'Paste here'!E40</f>
        <v>0</v>
      </c>
      <c r="G40" s="2">
        <f>'Paste here'!F40</f>
        <v>0</v>
      </c>
      <c r="H40" s="2">
        <f>'Paste here'!G40</f>
        <v>0</v>
      </c>
      <c r="I40" s="2">
        <f>'Paste here'!M40</f>
        <v>0</v>
      </c>
      <c r="J40" s="2" t="e">
        <f>IF(I40*VLOOKUP(H40,'Claim Amount'!$B$3:$J$24,8,FALSE)&lt;VLOOKUP(H40,'Claim Amount'!$B$3:$J$24,9,FALSE),VLOOKUP(H40,'Claim Amount'!$B$3:$J$24,9,FALSE),I40*VLOOKUP(H40,'Claim Amount'!$B$3:$J$24,8,FALSE))</f>
        <v>#N/A</v>
      </c>
      <c r="K40" s="2" t="e">
        <f t="shared" si="0"/>
        <v>#N/A</v>
      </c>
      <c r="L40" t="e" cm="1">
        <f t="array" ref="L40">IF(K40=0,"",[1]!SPELLNUMBER(K40))</f>
        <v>#N/A</v>
      </c>
    </row>
    <row r="41" spans="1:12" x14ac:dyDescent="0.25">
      <c r="A41" t="s">
        <v>89</v>
      </c>
      <c r="B41" t="s">
        <v>125</v>
      </c>
      <c r="C41">
        <f>'Paste here'!AQ41</f>
        <v>0</v>
      </c>
      <c r="D41">
        <f>'Paste here'!AR41</f>
        <v>0</v>
      </c>
      <c r="E41" t="s">
        <v>47</v>
      </c>
      <c r="F41">
        <f>'Paste here'!E41</f>
        <v>0</v>
      </c>
      <c r="G41" s="2">
        <f>'Paste here'!F41</f>
        <v>0</v>
      </c>
      <c r="H41" s="2">
        <f>'Paste here'!G41</f>
        <v>0</v>
      </c>
      <c r="I41" s="2">
        <f>'Paste here'!M41</f>
        <v>0</v>
      </c>
      <c r="J41" s="2" t="e">
        <f>IF(I41*VLOOKUP(H41,'Claim Amount'!$B$3:$J$24,8,FALSE)&lt;VLOOKUP(H41,'Claim Amount'!$B$3:$J$24,9,FALSE),VLOOKUP(H41,'Claim Amount'!$B$3:$J$24,9,FALSE),I41*VLOOKUP(H41,'Claim Amount'!$B$3:$J$24,8,FALSE))</f>
        <v>#N/A</v>
      </c>
      <c r="K41" s="2" t="e">
        <f t="shared" si="0"/>
        <v>#N/A</v>
      </c>
      <c r="L41" t="e" cm="1">
        <f t="array" ref="L41">IF(K41=0,"",[1]!SPELLNUMBER(K41))</f>
        <v>#N/A</v>
      </c>
    </row>
    <row r="42" spans="1:12" x14ac:dyDescent="0.25">
      <c r="A42" t="s">
        <v>90</v>
      </c>
      <c r="B42" t="s">
        <v>125</v>
      </c>
      <c r="C42">
        <f>'Paste here'!AQ42</f>
        <v>0</v>
      </c>
      <c r="D42">
        <f>'Paste here'!AR42</f>
        <v>0</v>
      </c>
      <c r="E42" t="s">
        <v>47</v>
      </c>
      <c r="F42">
        <f>'Paste here'!E42</f>
        <v>0</v>
      </c>
      <c r="G42" s="2">
        <f>'Paste here'!F42</f>
        <v>0</v>
      </c>
      <c r="H42" s="2">
        <f>'Paste here'!G42</f>
        <v>0</v>
      </c>
      <c r="I42" s="2">
        <f>'Paste here'!M42</f>
        <v>0</v>
      </c>
      <c r="J42" s="2" t="e">
        <f>IF(I42*VLOOKUP(H42,'Claim Amount'!$B$3:$J$24,8,FALSE)&lt;VLOOKUP(H42,'Claim Amount'!$B$3:$J$24,9,FALSE),VLOOKUP(H42,'Claim Amount'!$B$3:$J$24,9,FALSE),I42*VLOOKUP(H42,'Claim Amount'!$B$3:$J$24,8,FALSE))</f>
        <v>#N/A</v>
      </c>
      <c r="K42" s="2" t="e">
        <f t="shared" si="0"/>
        <v>#N/A</v>
      </c>
      <c r="L42" t="e" cm="1">
        <f t="array" ref="L42">IF(K42=0,"",[1]!SPELLNUMBER(K42))</f>
        <v>#N/A</v>
      </c>
    </row>
    <row r="43" spans="1:12" x14ac:dyDescent="0.25">
      <c r="A43" t="s">
        <v>91</v>
      </c>
      <c r="B43" t="s">
        <v>125</v>
      </c>
      <c r="C43">
        <f>'Paste here'!AQ43</f>
        <v>0</v>
      </c>
      <c r="D43">
        <f>'Paste here'!AR43</f>
        <v>0</v>
      </c>
      <c r="E43" t="s">
        <v>47</v>
      </c>
      <c r="F43">
        <f>'Paste here'!E43</f>
        <v>0</v>
      </c>
      <c r="G43" s="2">
        <f>'Paste here'!F43</f>
        <v>0</v>
      </c>
      <c r="H43" s="2">
        <f>'Paste here'!G43</f>
        <v>0</v>
      </c>
      <c r="I43" s="2">
        <f>'Paste here'!M43</f>
        <v>0</v>
      </c>
      <c r="J43" s="2" t="e">
        <f>IF(I43*VLOOKUP(H43,'Claim Amount'!$B$3:$J$24,8,FALSE)&lt;VLOOKUP(H43,'Claim Amount'!$B$3:$J$24,9,FALSE),VLOOKUP(H43,'Claim Amount'!$B$3:$J$24,9,FALSE),I43*VLOOKUP(H43,'Claim Amount'!$B$3:$J$24,8,FALSE))</f>
        <v>#N/A</v>
      </c>
      <c r="K43" s="2" t="e">
        <f t="shared" si="0"/>
        <v>#N/A</v>
      </c>
      <c r="L43" t="e" cm="1">
        <f t="array" ref="L43">IF(K43=0,"",[1]!SPELLNUMBER(K43))</f>
        <v>#N/A</v>
      </c>
    </row>
    <row r="44" spans="1:12" x14ac:dyDescent="0.25">
      <c r="A44" t="s">
        <v>92</v>
      </c>
      <c r="B44" t="s">
        <v>125</v>
      </c>
      <c r="C44">
        <f>'Paste here'!AQ44</f>
        <v>0</v>
      </c>
      <c r="D44">
        <f>'Paste here'!AR44</f>
        <v>0</v>
      </c>
      <c r="E44" t="s">
        <v>47</v>
      </c>
      <c r="F44">
        <f>'Paste here'!E44</f>
        <v>0</v>
      </c>
      <c r="G44" s="2">
        <f>'Paste here'!F44</f>
        <v>0</v>
      </c>
      <c r="H44" s="2">
        <f>'Paste here'!G44</f>
        <v>0</v>
      </c>
      <c r="I44" s="2">
        <f>'Paste here'!M44</f>
        <v>0</v>
      </c>
      <c r="J44" s="2" t="e">
        <f>IF(I44*VLOOKUP(H44,'Claim Amount'!$B$3:$J$24,8,FALSE)&lt;VLOOKUP(H44,'Claim Amount'!$B$3:$J$24,9,FALSE),VLOOKUP(H44,'Claim Amount'!$B$3:$J$24,9,FALSE),I44*VLOOKUP(H44,'Claim Amount'!$B$3:$J$24,8,FALSE))</f>
        <v>#N/A</v>
      </c>
      <c r="K44" s="2" t="e">
        <f t="shared" si="0"/>
        <v>#N/A</v>
      </c>
      <c r="L44" t="e" cm="1">
        <f t="array" ref="L44">IF(K44=0,"",[1]!SPELLNUMBER(K44))</f>
        <v>#N/A</v>
      </c>
    </row>
    <row r="45" spans="1:12" x14ac:dyDescent="0.25">
      <c r="A45" t="s">
        <v>93</v>
      </c>
      <c r="B45" t="s">
        <v>125</v>
      </c>
      <c r="C45">
        <f>'Paste here'!AQ45</f>
        <v>0</v>
      </c>
      <c r="D45">
        <f>'Paste here'!AR45</f>
        <v>0</v>
      </c>
      <c r="E45" t="s">
        <v>47</v>
      </c>
      <c r="F45">
        <f>'Paste here'!E45</f>
        <v>0</v>
      </c>
      <c r="G45" s="2">
        <f>'Paste here'!F45</f>
        <v>0</v>
      </c>
      <c r="H45" s="2">
        <f>'Paste here'!G45</f>
        <v>0</v>
      </c>
      <c r="I45" s="2">
        <f>'Paste here'!M45</f>
        <v>0</v>
      </c>
      <c r="J45" s="2" t="e">
        <f>IF(I45*VLOOKUP(H45,'Claim Amount'!$B$3:$J$24,8,FALSE)&lt;VLOOKUP(H45,'Claim Amount'!$B$3:$J$24,9,FALSE),VLOOKUP(H45,'Claim Amount'!$B$3:$J$24,9,FALSE),I45*VLOOKUP(H45,'Claim Amount'!$B$3:$J$24,8,FALSE))</f>
        <v>#N/A</v>
      </c>
      <c r="K45" s="2" t="e">
        <f t="shared" si="0"/>
        <v>#N/A</v>
      </c>
      <c r="L45" t="e" cm="1">
        <f t="array" ref="L45">IF(K45=0,"",[1]!SPELLNUMBER(K45))</f>
        <v>#N/A</v>
      </c>
    </row>
    <row r="46" spans="1:12" x14ac:dyDescent="0.25">
      <c r="A46" t="s">
        <v>94</v>
      </c>
      <c r="B46" t="s">
        <v>125</v>
      </c>
      <c r="C46">
        <f>'Paste here'!AQ46</f>
        <v>0</v>
      </c>
      <c r="D46">
        <f>'Paste here'!AR46</f>
        <v>0</v>
      </c>
      <c r="E46" t="s">
        <v>47</v>
      </c>
      <c r="F46">
        <f>'Paste here'!E46</f>
        <v>0</v>
      </c>
      <c r="G46" s="2">
        <f>'Paste here'!F46</f>
        <v>0</v>
      </c>
      <c r="H46" s="2">
        <f>'Paste here'!G46</f>
        <v>0</v>
      </c>
      <c r="I46" s="2">
        <f>'Paste here'!M46</f>
        <v>0</v>
      </c>
      <c r="J46" s="2" t="e">
        <f>IF(I46*VLOOKUP(H46,'Claim Amount'!$B$3:$J$24,8,FALSE)&lt;VLOOKUP(H46,'Claim Amount'!$B$3:$J$24,9,FALSE),VLOOKUP(H46,'Claim Amount'!$B$3:$J$24,9,FALSE),I46*VLOOKUP(H46,'Claim Amount'!$B$3:$J$24,8,FALSE))</f>
        <v>#N/A</v>
      </c>
      <c r="K46" s="2" t="e">
        <f t="shared" si="0"/>
        <v>#N/A</v>
      </c>
      <c r="L46" t="e" cm="1">
        <f t="array" ref="L46">IF(K46=0,"",[1]!SPELLNUMBER(K46))</f>
        <v>#N/A</v>
      </c>
    </row>
    <row r="47" spans="1:12" x14ac:dyDescent="0.25">
      <c r="A47" t="s">
        <v>95</v>
      </c>
      <c r="B47" t="s">
        <v>125</v>
      </c>
      <c r="C47">
        <f>'Paste here'!AQ47</f>
        <v>0</v>
      </c>
      <c r="D47">
        <f>'Paste here'!AR47</f>
        <v>0</v>
      </c>
      <c r="E47" t="s">
        <v>47</v>
      </c>
      <c r="F47">
        <f>'Paste here'!E47</f>
        <v>0</v>
      </c>
      <c r="G47" s="2">
        <f>'Paste here'!F47</f>
        <v>0</v>
      </c>
      <c r="H47" s="2">
        <f>'Paste here'!G47</f>
        <v>0</v>
      </c>
      <c r="I47" s="2">
        <f>'Paste here'!M47</f>
        <v>0</v>
      </c>
      <c r="J47" s="2" t="e">
        <f>IF(I47*VLOOKUP(H47,'Claim Amount'!$B$3:$J$24,8,FALSE)&lt;VLOOKUP(H47,'Claim Amount'!$B$3:$J$24,9,FALSE),VLOOKUP(H47,'Claim Amount'!$B$3:$J$24,9,FALSE),I47*VLOOKUP(H47,'Claim Amount'!$B$3:$J$24,8,FALSE))</f>
        <v>#N/A</v>
      </c>
      <c r="K47" s="2" t="e">
        <f t="shared" si="0"/>
        <v>#N/A</v>
      </c>
      <c r="L47" t="e" cm="1">
        <f t="array" ref="L47">IF(K47=0,"",[1]!SPELLNUMBER(K47))</f>
        <v>#N/A</v>
      </c>
    </row>
    <row r="48" spans="1:12" x14ac:dyDescent="0.25">
      <c r="A48" t="s">
        <v>96</v>
      </c>
      <c r="B48" t="s">
        <v>125</v>
      </c>
      <c r="C48">
        <f>'Paste here'!AQ48</f>
        <v>0</v>
      </c>
      <c r="D48">
        <f>'Paste here'!AR48</f>
        <v>0</v>
      </c>
      <c r="E48" t="s">
        <v>47</v>
      </c>
      <c r="F48">
        <f>'Paste here'!E48</f>
        <v>0</v>
      </c>
      <c r="G48" s="2">
        <f>'Paste here'!F48</f>
        <v>0</v>
      </c>
      <c r="H48" s="2">
        <f>'Paste here'!G48</f>
        <v>0</v>
      </c>
      <c r="I48" s="2">
        <f>'Paste here'!M48</f>
        <v>0</v>
      </c>
      <c r="J48" s="2" t="e">
        <f>IF(I48*VLOOKUP(H48,'Claim Amount'!$B$3:$J$24,8,FALSE)&lt;VLOOKUP(H48,'Claim Amount'!$B$3:$J$24,9,FALSE),VLOOKUP(H48,'Claim Amount'!$B$3:$J$24,9,FALSE),I48*VLOOKUP(H48,'Claim Amount'!$B$3:$J$24,8,FALSE))</f>
        <v>#N/A</v>
      </c>
      <c r="K48" s="2" t="e">
        <f t="shared" si="0"/>
        <v>#N/A</v>
      </c>
      <c r="L48" t="e" cm="1">
        <f t="array" ref="L48">IF(K48=0,"",[1]!SPELLNUMBER(K48))</f>
        <v>#N/A</v>
      </c>
    </row>
    <row r="49" spans="1:12" x14ac:dyDescent="0.25">
      <c r="A49" t="s">
        <v>97</v>
      </c>
      <c r="B49" t="s">
        <v>125</v>
      </c>
      <c r="C49">
        <f>'Paste here'!AQ49</f>
        <v>0</v>
      </c>
      <c r="D49">
        <f>'Paste here'!AR49</f>
        <v>0</v>
      </c>
      <c r="E49" t="s">
        <v>47</v>
      </c>
      <c r="F49">
        <f>'Paste here'!E49</f>
        <v>0</v>
      </c>
      <c r="G49" s="2">
        <f>'Paste here'!F49</f>
        <v>0</v>
      </c>
      <c r="H49" s="2">
        <f>'Paste here'!G49</f>
        <v>0</v>
      </c>
      <c r="I49" s="2">
        <f>'Paste here'!M49</f>
        <v>0</v>
      </c>
      <c r="J49" s="2" t="e">
        <f>IF(I49*VLOOKUP(H49,'Claim Amount'!$B$3:$J$24,8,FALSE)&lt;VLOOKUP(H49,'Claim Amount'!$B$3:$J$24,9,FALSE),VLOOKUP(H49,'Claim Amount'!$B$3:$J$24,9,FALSE),I49*VLOOKUP(H49,'Claim Amount'!$B$3:$J$24,8,FALSE))</f>
        <v>#N/A</v>
      </c>
      <c r="K49" s="2" t="e">
        <f t="shared" si="0"/>
        <v>#N/A</v>
      </c>
      <c r="L49" t="e" cm="1">
        <f t="array" ref="L49">IF(K49=0,"",[1]!SPELLNUMBER(K49))</f>
        <v>#N/A</v>
      </c>
    </row>
    <row r="50" spans="1:12" x14ac:dyDescent="0.25">
      <c r="A50" t="s">
        <v>98</v>
      </c>
      <c r="B50" t="s">
        <v>125</v>
      </c>
      <c r="C50">
        <f>'Paste here'!AQ50</f>
        <v>0</v>
      </c>
      <c r="D50">
        <f>'Paste here'!AR50</f>
        <v>0</v>
      </c>
      <c r="E50" t="s">
        <v>47</v>
      </c>
      <c r="F50">
        <f>'Paste here'!E50</f>
        <v>0</v>
      </c>
      <c r="G50" s="2">
        <f>'Paste here'!F50</f>
        <v>0</v>
      </c>
      <c r="H50" s="2">
        <f>'Paste here'!G50</f>
        <v>0</v>
      </c>
      <c r="I50" s="2">
        <f>'Paste here'!M50</f>
        <v>0</v>
      </c>
      <c r="J50" s="2" t="e">
        <f>IF(I50*VLOOKUP(H50,'Claim Amount'!$B$3:$J$24,8,FALSE)&lt;VLOOKUP(H50,'Claim Amount'!$B$3:$J$24,9,FALSE),VLOOKUP(H50,'Claim Amount'!$B$3:$J$24,9,FALSE),I50*VLOOKUP(H50,'Claim Amount'!$B$3:$J$24,8,FALSE))</f>
        <v>#N/A</v>
      </c>
      <c r="K50" s="2" t="e">
        <f t="shared" si="0"/>
        <v>#N/A</v>
      </c>
      <c r="L50" t="e" cm="1">
        <f t="array" ref="L50">IF(K50=0,"",[1]!SPELLNUMBER(K50))</f>
        <v>#N/A</v>
      </c>
    </row>
    <row r="51" spans="1:12" x14ac:dyDescent="0.25">
      <c r="A51" t="s">
        <v>99</v>
      </c>
      <c r="B51" t="s">
        <v>125</v>
      </c>
      <c r="C51">
        <f>'Paste here'!AQ51</f>
        <v>0</v>
      </c>
      <c r="D51">
        <f>'Paste here'!AR51</f>
        <v>0</v>
      </c>
      <c r="E51" t="s">
        <v>47</v>
      </c>
      <c r="F51">
        <f>'Paste here'!E51</f>
        <v>0</v>
      </c>
      <c r="G51" s="2">
        <f>'Paste here'!F51</f>
        <v>0</v>
      </c>
      <c r="H51" s="2">
        <f>'Paste here'!G51</f>
        <v>0</v>
      </c>
      <c r="I51" s="2">
        <f>'Paste here'!M51</f>
        <v>0</v>
      </c>
      <c r="J51" s="2" t="e">
        <f>IF(I51*VLOOKUP(H51,'Claim Amount'!$B$3:$J$24,8,FALSE)&lt;VLOOKUP(H51,'Claim Amount'!$B$3:$J$24,9,FALSE),VLOOKUP(H51,'Claim Amount'!$B$3:$J$24,9,FALSE),I51*VLOOKUP(H51,'Claim Amount'!$B$3:$J$24,8,FALSE))</f>
        <v>#N/A</v>
      </c>
      <c r="K51" s="2" t="e">
        <f t="shared" si="0"/>
        <v>#N/A</v>
      </c>
      <c r="L51" t="e" cm="1">
        <f t="array" ref="L51">IF(K51=0,"",[1]!SPELLNUMBER(K51))</f>
        <v>#N/A</v>
      </c>
    </row>
    <row r="52" spans="1:12" x14ac:dyDescent="0.25">
      <c r="A52" t="s">
        <v>100</v>
      </c>
      <c r="B52" t="s">
        <v>125</v>
      </c>
      <c r="C52">
        <f>'Paste here'!AQ52</f>
        <v>0</v>
      </c>
      <c r="D52">
        <f>'Paste here'!AR52</f>
        <v>0</v>
      </c>
      <c r="E52" t="s">
        <v>47</v>
      </c>
      <c r="F52">
        <f>'Paste here'!E52</f>
        <v>0</v>
      </c>
      <c r="G52" s="2">
        <f>'Paste here'!F52</f>
        <v>0</v>
      </c>
      <c r="H52" s="2">
        <f>'Paste here'!G52</f>
        <v>0</v>
      </c>
      <c r="I52" s="2">
        <f>'Paste here'!M52</f>
        <v>0</v>
      </c>
      <c r="J52" s="2" t="e">
        <f>IF(I52*VLOOKUP(H52,'Claim Amount'!$B$3:$J$24,8,FALSE)&lt;VLOOKUP(H52,'Claim Amount'!$B$3:$J$24,9,FALSE),VLOOKUP(H52,'Claim Amount'!$B$3:$J$24,9,FALSE),I52*VLOOKUP(H52,'Claim Amount'!$B$3:$J$24,8,FALSE))</f>
        <v>#N/A</v>
      </c>
      <c r="K52" s="2" t="e">
        <f t="shared" si="0"/>
        <v>#N/A</v>
      </c>
      <c r="L52" t="e" cm="1">
        <f t="array" ref="L52">IF(K52=0,"",[1]!SPELLNUMBER(K52))</f>
        <v>#N/A</v>
      </c>
    </row>
    <row r="53" spans="1:12" x14ac:dyDescent="0.25">
      <c r="A53" t="s">
        <v>101</v>
      </c>
      <c r="B53" t="s">
        <v>125</v>
      </c>
      <c r="C53">
        <f>'Paste here'!AQ53</f>
        <v>0</v>
      </c>
      <c r="D53">
        <f>'Paste here'!AR53</f>
        <v>0</v>
      </c>
      <c r="E53" t="s">
        <v>47</v>
      </c>
      <c r="F53">
        <f>'Paste here'!E53</f>
        <v>0</v>
      </c>
      <c r="G53" s="2">
        <f>'Paste here'!F53</f>
        <v>0</v>
      </c>
      <c r="H53" s="2">
        <f>'Paste here'!G53</f>
        <v>0</v>
      </c>
      <c r="I53" s="2">
        <f>'Paste here'!M53</f>
        <v>0</v>
      </c>
      <c r="J53" s="2" t="e">
        <f>IF(I53*VLOOKUP(H53,'Claim Amount'!$B$3:$J$24,8,FALSE)&lt;VLOOKUP(H53,'Claim Amount'!$B$3:$J$24,9,FALSE),VLOOKUP(H53,'Claim Amount'!$B$3:$J$24,9,FALSE),I53*VLOOKUP(H53,'Claim Amount'!$B$3:$J$24,8,FALSE))</f>
        <v>#N/A</v>
      </c>
      <c r="K53" s="2" t="e">
        <f t="shared" si="0"/>
        <v>#N/A</v>
      </c>
      <c r="L53" t="e" cm="1">
        <f t="array" ref="L53">IF(K53=0,"",[1]!SPELLNUMBER(K53))</f>
        <v>#N/A</v>
      </c>
    </row>
    <row r="54" spans="1:12" x14ac:dyDescent="0.25">
      <c r="A54" t="s">
        <v>102</v>
      </c>
      <c r="B54" t="s">
        <v>125</v>
      </c>
      <c r="C54">
        <f>'Paste here'!AQ54</f>
        <v>0</v>
      </c>
      <c r="D54">
        <f>'Paste here'!AR54</f>
        <v>0</v>
      </c>
      <c r="E54" t="s">
        <v>47</v>
      </c>
      <c r="F54">
        <f>'Paste here'!E54</f>
        <v>0</v>
      </c>
      <c r="G54" s="2">
        <f>'Paste here'!F54</f>
        <v>0</v>
      </c>
      <c r="H54" s="2">
        <f>'Paste here'!G54</f>
        <v>0</v>
      </c>
      <c r="I54" s="2">
        <f>'Paste here'!M54</f>
        <v>0</v>
      </c>
      <c r="J54" s="2" t="e">
        <f>IF(I54*VLOOKUP(H54,'Claim Amount'!$B$3:$J$24,8,FALSE)&lt;VLOOKUP(H54,'Claim Amount'!$B$3:$J$24,9,FALSE),VLOOKUP(H54,'Claim Amount'!$B$3:$J$24,9,FALSE),I54*VLOOKUP(H54,'Claim Amount'!$B$3:$J$24,8,FALSE))</f>
        <v>#N/A</v>
      </c>
      <c r="K54" s="2" t="e">
        <f t="shared" si="0"/>
        <v>#N/A</v>
      </c>
      <c r="L54" t="e" cm="1">
        <f t="array" ref="L54">IF(K54=0,"",[1]!SPELLNUMBER(K54))</f>
        <v>#N/A</v>
      </c>
    </row>
    <row r="55" spans="1:12" x14ac:dyDescent="0.25">
      <c r="A55" t="s">
        <v>103</v>
      </c>
      <c r="B55" t="s">
        <v>125</v>
      </c>
      <c r="C55">
        <f>'Paste here'!AQ55</f>
        <v>0</v>
      </c>
      <c r="D55">
        <f>'Paste here'!AR55</f>
        <v>0</v>
      </c>
      <c r="E55" t="s">
        <v>47</v>
      </c>
      <c r="F55">
        <f>'Paste here'!E55</f>
        <v>0</v>
      </c>
      <c r="G55" s="2">
        <f>'Paste here'!F55</f>
        <v>0</v>
      </c>
      <c r="H55" s="2">
        <f>'Paste here'!G55</f>
        <v>0</v>
      </c>
      <c r="I55" s="2">
        <f>'Paste here'!M55</f>
        <v>0</v>
      </c>
      <c r="J55" s="2" t="e">
        <f>IF(I55*VLOOKUP(H55,'Claim Amount'!$B$3:$J$24,8,FALSE)&lt;VLOOKUP(H55,'Claim Amount'!$B$3:$J$24,9,FALSE),VLOOKUP(H55,'Claim Amount'!$B$3:$J$24,9,FALSE),I55*VLOOKUP(H55,'Claim Amount'!$B$3:$J$24,8,FALSE))</f>
        <v>#N/A</v>
      </c>
      <c r="K55" s="2" t="e">
        <f t="shared" si="0"/>
        <v>#N/A</v>
      </c>
      <c r="L55" t="e" cm="1">
        <f t="array" ref="L55">IF(K55=0,"",[1]!SPELLNUMBER(K55))</f>
        <v>#N/A</v>
      </c>
    </row>
    <row r="56" spans="1:12" x14ac:dyDescent="0.25">
      <c r="A56" t="s">
        <v>104</v>
      </c>
      <c r="B56" t="s">
        <v>125</v>
      </c>
      <c r="C56">
        <f>'Paste here'!AQ56</f>
        <v>0</v>
      </c>
      <c r="D56">
        <f>'Paste here'!AR56</f>
        <v>0</v>
      </c>
      <c r="E56" t="s">
        <v>47</v>
      </c>
      <c r="F56">
        <f>'Paste here'!E56</f>
        <v>0</v>
      </c>
      <c r="G56" s="2">
        <f>'Paste here'!F56</f>
        <v>0</v>
      </c>
      <c r="H56" s="2">
        <f>'Paste here'!G56</f>
        <v>0</v>
      </c>
      <c r="I56" s="2">
        <f>'Paste here'!M56</f>
        <v>0</v>
      </c>
      <c r="J56" s="2" t="e">
        <f>IF(I56*VLOOKUP(H56,'Claim Amount'!$B$3:$J$24,8,FALSE)&lt;VLOOKUP(H56,'Claim Amount'!$B$3:$J$24,9,FALSE),VLOOKUP(H56,'Claim Amount'!$B$3:$J$24,9,FALSE),I56*VLOOKUP(H56,'Claim Amount'!$B$3:$J$24,8,FALSE))</f>
        <v>#N/A</v>
      </c>
      <c r="K56" s="2" t="e">
        <f t="shared" si="0"/>
        <v>#N/A</v>
      </c>
      <c r="L56" t="e" cm="1">
        <f t="array" ref="L56">IF(K56=0,"",[1]!SPELLNUMBER(K56))</f>
        <v>#N/A</v>
      </c>
    </row>
    <row r="57" spans="1:12" x14ac:dyDescent="0.25">
      <c r="A57" t="s">
        <v>105</v>
      </c>
      <c r="B57" t="s">
        <v>125</v>
      </c>
      <c r="C57">
        <f>'Paste here'!AQ57</f>
        <v>0</v>
      </c>
      <c r="D57">
        <f>'Paste here'!AR57</f>
        <v>0</v>
      </c>
      <c r="E57" t="s">
        <v>47</v>
      </c>
      <c r="F57">
        <f>'Paste here'!E57</f>
        <v>0</v>
      </c>
      <c r="G57" s="2">
        <f>'Paste here'!F57</f>
        <v>0</v>
      </c>
      <c r="H57" s="2">
        <f>'Paste here'!G57</f>
        <v>0</v>
      </c>
      <c r="I57" s="2">
        <f>'Paste here'!M57</f>
        <v>0</v>
      </c>
      <c r="J57" s="2" t="e">
        <f>IF(I57*VLOOKUP(H57,'Claim Amount'!$B$3:$J$24,8,FALSE)&lt;VLOOKUP(H57,'Claim Amount'!$B$3:$J$24,9,FALSE),VLOOKUP(H57,'Claim Amount'!$B$3:$J$24,9,FALSE),I57*VLOOKUP(H57,'Claim Amount'!$B$3:$J$24,8,FALSE))</f>
        <v>#N/A</v>
      </c>
      <c r="K57" s="2" t="e">
        <f t="shared" si="0"/>
        <v>#N/A</v>
      </c>
      <c r="L57" t="e" cm="1">
        <f t="array" ref="L57">IF(K57=0,"",[1]!SPELLNUMBER(K57))</f>
        <v>#N/A</v>
      </c>
    </row>
    <row r="58" spans="1:12" x14ac:dyDescent="0.25">
      <c r="A58" t="s">
        <v>106</v>
      </c>
      <c r="B58" t="s">
        <v>125</v>
      </c>
      <c r="C58">
        <f>'Paste here'!AQ58</f>
        <v>0</v>
      </c>
      <c r="D58">
        <f>'Paste here'!AR58</f>
        <v>0</v>
      </c>
      <c r="E58" t="s">
        <v>47</v>
      </c>
      <c r="F58">
        <f>'Paste here'!E58</f>
        <v>0</v>
      </c>
      <c r="G58" s="2">
        <f>'Paste here'!F58</f>
        <v>0</v>
      </c>
      <c r="H58" s="2">
        <f>'Paste here'!G58</f>
        <v>0</v>
      </c>
      <c r="I58" s="2">
        <f>'Paste here'!M58</f>
        <v>0</v>
      </c>
      <c r="J58" s="2" t="e">
        <f>IF(I58*VLOOKUP(H58,'Claim Amount'!$B$3:$J$24,8,FALSE)&lt;VLOOKUP(H58,'Claim Amount'!$B$3:$J$24,9,FALSE),VLOOKUP(H58,'Claim Amount'!$B$3:$J$24,9,FALSE),I58*VLOOKUP(H58,'Claim Amount'!$B$3:$J$24,8,FALSE))</f>
        <v>#N/A</v>
      </c>
      <c r="K58" s="2" t="e">
        <f t="shared" si="0"/>
        <v>#N/A</v>
      </c>
      <c r="L58" t="e" cm="1">
        <f t="array" ref="L58">IF(K58=0,"",[1]!SPELLNUMBER(K58))</f>
        <v>#N/A</v>
      </c>
    </row>
    <row r="59" spans="1:12" x14ac:dyDescent="0.25">
      <c r="A59" t="s">
        <v>107</v>
      </c>
      <c r="B59" t="s">
        <v>125</v>
      </c>
      <c r="C59">
        <f>'Paste here'!AQ59</f>
        <v>0</v>
      </c>
      <c r="D59">
        <f>'Paste here'!AR59</f>
        <v>0</v>
      </c>
      <c r="E59" t="s">
        <v>47</v>
      </c>
      <c r="F59">
        <f>'Paste here'!E59</f>
        <v>0</v>
      </c>
      <c r="G59" s="2">
        <f>'Paste here'!F59</f>
        <v>0</v>
      </c>
      <c r="H59" s="2">
        <f>'Paste here'!G59</f>
        <v>0</v>
      </c>
      <c r="I59" s="2">
        <f>'Paste here'!M59</f>
        <v>0</v>
      </c>
      <c r="J59" s="2" t="e">
        <f>IF(I59*VLOOKUP(H59,'Claim Amount'!$B$3:$J$24,8,FALSE)&lt;VLOOKUP(H59,'Claim Amount'!$B$3:$J$24,9,FALSE),VLOOKUP(H59,'Claim Amount'!$B$3:$J$24,9,FALSE),I59*VLOOKUP(H59,'Claim Amount'!$B$3:$J$24,8,FALSE))</f>
        <v>#N/A</v>
      </c>
      <c r="K59" s="2" t="e">
        <f t="shared" si="0"/>
        <v>#N/A</v>
      </c>
      <c r="L59" t="e" cm="1">
        <f t="array" ref="L59">IF(K59=0,"",[1]!SPELLNUMBER(K59))</f>
        <v>#N/A</v>
      </c>
    </row>
    <row r="60" spans="1:12" x14ac:dyDescent="0.25">
      <c r="A60" t="s">
        <v>108</v>
      </c>
      <c r="B60" t="s">
        <v>125</v>
      </c>
      <c r="C60">
        <f>'Paste here'!AQ60</f>
        <v>0</v>
      </c>
      <c r="D60">
        <f>'Paste here'!AR60</f>
        <v>0</v>
      </c>
      <c r="E60" t="s">
        <v>47</v>
      </c>
      <c r="F60">
        <f>'Paste here'!E60</f>
        <v>0</v>
      </c>
      <c r="G60" s="2">
        <f>'Paste here'!F60</f>
        <v>0</v>
      </c>
      <c r="H60" s="2">
        <f>'Paste here'!G60</f>
        <v>0</v>
      </c>
      <c r="I60" s="2">
        <f>'Paste here'!M60</f>
        <v>0</v>
      </c>
      <c r="J60" s="2" t="e">
        <f>IF(I60*VLOOKUP(H60,'Claim Amount'!$B$3:$J$24,8,FALSE)&lt;VLOOKUP(H60,'Claim Amount'!$B$3:$J$24,9,FALSE),VLOOKUP(H60,'Claim Amount'!$B$3:$J$24,9,FALSE),I60*VLOOKUP(H60,'Claim Amount'!$B$3:$J$24,8,FALSE))</f>
        <v>#N/A</v>
      </c>
      <c r="K60" s="2" t="e">
        <f t="shared" si="0"/>
        <v>#N/A</v>
      </c>
      <c r="L60" t="e" cm="1">
        <f t="array" ref="L60">IF(K60=0,"",[1]!SPELLNUMBER(K60))</f>
        <v>#N/A</v>
      </c>
    </row>
    <row r="61" spans="1:12" x14ac:dyDescent="0.25">
      <c r="A61" t="s">
        <v>203</v>
      </c>
      <c r="B61" t="s">
        <v>125</v>
      </c>
      <c r="C61">
        <f>'Paste here'!AQ61</f>
        <v>0</v>
      </c>
      <c r="D61">
        <f>'Paste here'!AR61</f>
        <v>0</v>
      </c>
      <c r="E61" t="s">
        <v>47</v>
      </c>
      <c r="F61">
        <f>'Paste here'!E61</f>
        <v>0</v>
      </c>
      <c r="G61" s="2">
        <f>'Paste here'!F61</f>
        <v>0</v>
      </c>
      <c r="H61" s="2">
        <f>'Paste here'!G61</f>
        <v>0</v>
      </c>
      <c r="I61" s="2">
        <f>'Paste here'!M61</f>
        <v>0</v>
      </c>
      <c r="J61" s="2" t="e">
        <f>IF(I61*VLOOKUP(H61,'Claim Amount'!$B$3:$J$24,8,FALSE)&lt;VLOOKUP(H61,'Claim Amount'!$B$3:$J$24,9,FALSE),VLOOKUP(H61,'Claim Amount'!$B$3:$J$24,9,FALSE),I61*VLOOKUP(H61,'Claim Amount'!$B$3:$J$24,8,FALSE))</f>
        <v>#N/A</v>
      </c>
      <c r="K61" s="2" t="e">
        <f t="shared" si="0"/>
        <v>#N/A</v>
      </c>
      <c r="L61" t="e" cm="1">
        <f t="array" ref="L61">IF(K61=0,"",[1]!SPELLNUMBER(K61))</f>
        <v>#N/A</v>
      </c>
    </row>
    <row r="62" spans="1:12" x14ac:dyDescent="0.25">
      <c r="A62" t="s">
        <v>204</v>
      </c>
      <c r="B62" t="s">
        <v>125</v>
      </c>
      <c r="C62">
        <f>'Paste here'!AQ62</f>
        <v>0</v>
      </c>
      <c r="D62">
        <f>'Paste here'!AR62</f>
        <v>0</v>
      </c>
      <c r="E62" t="s">
        <v>47</v>
      </c>
      <c r="F62">
        <f>'Paste here'!E62</f>
        <v>0</v>
      </c>
      <c r="G62" s="2">
        <f>'Paste here'!F62</f>
        <v>0</v>
      </c>
      <c r="H62" s="2">
        <f>'Paste here'!G62</f>
        <v>0</v>
      </c>
      <c r="I62" s="2">
        <f>'Paste here'!M62</f>
        <v>0</v>
      </c>
      <c r="J62" s="2" t="e">
        <f>IF(I62*VLOOKUP(H62,'Claim Amount'!$B$3:$J$24,8,FALSE)&lt;VLOOKUP(H62,'Claim Amount'!$B$3:$J$24,9,FALSE),VLOOKUP(H62,'Claim Amount'!$B$3:$J$24,9,FALSE),I62*VLOOKUP(H62,'Claim Amount'!$B$3:$J$24,8,FALSE))</f>
        <v>#N/A</v>
      </c>
      <c r="K62" s="2" t="e">
        <f t="shared" si="0"/>
        <v>#N/A</v>
      </c>
      <c r="L62" t="e" cm="1">
        <f t="array" ref="L62">IF(K62=0,"",[1]!SPELLNUMBER(K62))</f>
        <v>#N/A</v>
      </c>
    </row>
    <row r="63" spans="1:12" x14ac:dyDescent="0.25">
      <c r="A63" t="s">
        <v>205</v>
      </c>
      <c r="B63" t="s">
        <v>125</v>
      </c>
      <c r="C63">
        <f>'Paste here'!AQ63</f>
        <v>0</v>
      </c>
      <c r="D63">
        <f>'Paste here'!AR63</f>
        <v>0</v>
      </c>
      <c r="E63" t="s">
        <v>47</v>
      </c>
      <c r="F63">
        <f>'Paste here'!E63</f>
        <v>0</v>
      </c>
      <c r="G63" s="2">
        <f>'Paste here'!F63</f>
        <v>0</v>
      </c>
      <c r="H63" s="2">
        <f>'Paste here'!G63</f>
        <v>0</v>
      </c>
      <c r="I63" s="2">
        <f>'Paste here'!M63</f>
        <v>0</v>
      </c>
      <c r="J63" s="2" t="e">
        <f>IF(I63*VLOOKUP(H63,'Claim Amount'!$B$3:$J$24,8,FALSE)&lt;VLOOKUP(H63,'Claim Amount'!$B$3:$J$24,9,FALSE),VLOOKUP(H63,'Claim Amount'!$B$3:$J$24,9,FALSE),I63*VLOOKUP(H63,'Claim Amount'!$B$3:$J$24,8,FALSE))</f>
        <v>#N/A</v>
      </c>
      <c r="K63" s="2" t="e">
        <f t="shared" si="0"/>
        <v>#N/A</v>
      </c>
      <c r="L63" t="e" cm="1">
        <f t="array" ref="L63">IF(K63=0,"",[1]!SPELLNUMBER(K63))</f>
        <v>#N/A</v>
      </c>
    </row>
    <row r="64" spans="1:12" x14ac:dyDescent="0.25">
      <c r="A64" t="s">
        <v>206</v>
      </c>
      <c r="B64" t="s">
        <v>125</v>
      </c>
      <c r="C64">
        <f>'Paste here'!AQ64</f>
        <v>0</v>
      </c>
      <c r="D64">
        <f>'Paste here'!AR64</f>
        <v>0</v>
      </c>
      <c r="E64" t="s">
        <v>47</v>
      </c>
      <c r="F64">
        <f>'Paste here'!E64</f>
        <v>0</v>
      </c>
      <c r="G64" s="2">
        <f>'Paste here'!F64</f>
        <v>0</v>
      </c>
      <c r="H64" s="2">
        <f>'Paste here'!G64</f>
        <v>0</v>
      </c>
      <c r="I64" s="2">
        <f>'Paste here'!M64</f>
        <v>0</v>
      </c>
      <c r="J64" s="2" t="e">
        <f>IF(I64*VLOOKUP(H64,'Claim Amount'!$B$3:$J$24,8,FALSE)&lt;VLOOKUP(H64,'Claim Amount'!$B$3:$J$24,9,FALSE),VLOOKUP(H64,'Claim Amount'!$B$3:$J$24,9,FALSE),I64*VLOOKUP(H64,'Claim Amount'!$B$3:$J$24,8,FALSE))</f>
        <v>#N/A</v>
      </c>
      <c r="K64" s="2" t="e">
        <f t="shared" si="0"/>
        <v>#N/A</v>
      </c>
      <c r="L64" t="e" cm="1">
        <f t="array" ref="L64">IF(K64=0,"",[1]!SPELLNUMBER(K64))</f>
        <v>#N/A</v>
      </c>
    </row>
    <row r="65" spans="1:12" x14ac:dyDescent="0.25">
      <c r="A65" t="s">
        <v>207</v>
      </c>
      <c r="B65" t="s">
        <v>125</v>
      </c>
      <c r="C65">
        <f>'Paste here'!AQ65</f>
        <v>0</v>
      </c>
      <c r="D65">
        <f>'Paste here'!AR65</f>
        <v>0</v>
      </c>
      <c r="E65" t="s">
        <v>47</v>
      </c>
      <c r="F65">
        <f>'Paste here'!E65</f>
        <v>0</v>
      </c>
      <c r="G65" s="2">
        <f>'Paste here'!F65</f>
        <v>0</v>
      </c>
      <c r="H65" s="2">
        <f>'Paste here'!G65</f>
        <v>0</v>
      </c>
      <c r="I65" s="2">
        <f>'Paste here'!M65</f>
        <v>0</v>
      </c>
      <c r="J65" s="2" t="e">
        <f>IF(I65*VLOOKUP(H65,'Claim Amount'!$B$3:$J$24,8,FALSE)&lt;VLOOKUP(H65,'Claim Amount'!$B$3:$J$24,9,FALSE),VLOOKUP(H65,'Claim Amount'!$B$3:$J$24,9,FALSE),I65*VLOOKUP(H65,'Claim Amount'!$B$3:$J$24,8,FALSE))</f>
        <v>#N/A</v>
      </c>
      <c r="K65" s="2" t="e">
        <f t="shared" si="0"/>
        <v>#N/A</v>
      </c>
      <c r="L65" t="e" cm="1">
        <f t="array" ref="L65">IF(K65=0,"",[1]!SPELLNUMBER(K65))</f>
        <v>#N/A</v>
      </c>
    </row>
    <row r="66" spans="1:12" x14ac:dyDescent="0.25">
      <c r="A66" t="s">
        <v>208</v>
      </c>
      <c r="B66" t="s">
        <v>125</v>
      </c>
      <c r="C66">
        <f>'Paste here'!AQ66</f>
        <v>0</v>
      </c>
      <c r="D66">
        <f>'Paste here'!AR66</f>
        <v>0</v>
      </c>
      <c r="E66" t="s">
        <v>47</v>
      </c>
      <c r="F66">
        <f>'Paste here'!E66</f>
        <v>0</v>
      </c>
      <c r="G66" s="2">
        <f>'Paste here'!F66</f>
        <v>0</v>
      </c>
      <c r="H66" s="2">
        <f>'Paste here'!G66</f>
        <v>0</v>
      </c>
      <c r="I66" s="2">
        <f>'Paste here'!M66</f>
        <v>0</v>
      </c>
      <c r="J66" s="2" t="e">
        <f>IF(I66*VLOOKUP(H66,'Claim Amount'!$B$3:$J$24,8,FALSE)&lt;VLOOKUP(H66,'Claim Amount'!$B$3:$J$24,9,FALSE),VLOOKUP(H66,'Claim Amount'!$B$3:$J$24,9,FALSE),I66*VLOOKUP(H66,'Claim Amount'!$B$3:$J$24,8,FALSE))</f>
        <v>#N/A</v>
      </c>
      <c r="K66" s="2" t="e">
        <f t="shared" si="0"/>
        <v>#N/A</v>
      </c>
      <c r="L66" t="e" cm="1">
        <f t="array" ref="L66">IF(K66=0,"",[1]!SPELLNUMBER(K66))</f>
        <v>#N/A</v>
      </c>
    </row>
    <row r="67" spans="1:12" x14ac:dyDescent="0.25">
      <c r="A67" t="s">
        <v>209</v>
      </c>
      <c r="B67" t="s">
        <v>125</v>
      </c>
      <c r="C67">
        <f>'Paste here'!AQ67</f>
        <v>0</v>
      </c>
      <c r="D67">
        <f>'Paste here'!AR67</f>
        <v>0</v>
      </c>
      <c r="E67" t="s">
        <v>47</v>
      </c>
      <c r="F67">
        <f>'Paste here'!E67</f>
        <v>0</v>
      </c>
      <c r="G67" s="2">
        <f>'Paste here'!F67</f>
        <v>0</v>
      </c>
      <c r="H67" s="2">
        <f>'Paste here'!G67</f>
        <v>0</v>
      </c>
      <c r="I67" s="2">
        <f>'Paste here'!M67</f>
        <v>0</v>
      </c>
      <c r="J67" s="2" t="e">
        <f>IF(I67*VLOOKUP(H67,'Claim Amount'!$B$3:$J$24,8,FALSE)&lt;VLOOKUP(H67,'Claim Amount'!$B$3:$J$24,9,FALSE),VLOOKUP(H67,'Claim Amount'!$B$3:$J$24,9,FALSE),I67*VLOOKUP(H67,'Claim Amount'!$B$3:$J$24,8,FALSE))</f>
        <v>#N/A</v>
      </c>
      <c r="K67" s="2" t="e">
        <f t="shared" ref="K67:K113" si="1">SUM(J67:J67)</f>
        <v>#N/A</v>
      </c>
      <c r="L67" t="e" cm="1">
        <f t="array" ref="L67">IF(K67=0,"",[1]!SPELLNUMBER(K67))</f>
        <v>#N/A</v>
      </c>
    </row>
    <row r="68" spans="1:12" x14ac:dyDescent="0.25">
      <c r="A68" t="s">
        <v>210</v>
      </c>
      <c r="B68" t="s">
        <v>125</v>
      </c>
      <c r="C68">
        <f>'Paste here'!AQ68</f>
        <v>0</v>
      </c>
      <c r="D68">
        <f>'Paste here'!AR68</f>
        <v>0</v>
      </c>
      <c r="E68" t="s">
        <v>47</v>
      </c>
      <c r="F68">
        <f>'Paste here'!E68</f>
        <v>0</v>
      </c>
      <c r="G68" s="2">
        <f>'Paste here'!F68</f>
        <v>0</v>
      </c>
      <c r="H68" s="2">
        <f>'Paste here'!G68</f>
        <v>0</v>
      </c>
      <c r="I68" s="2">
        <f>'Paste here'!M68</f>
        <v>0</v>
      </c>
      <c r="J68" s="2" t="e">
        <f>IF(I68*VLOOKUP(H68,'Claim Amount'!$B$3:$J$24,8,FALSE)&lt;VLOOKUP(H68,'Claim Amount'!$B$3:$J$24,9,FALSE),VLOOKUP(H68,'Claim Amount'!$B$3:$J$24,9,FALSE),I68*VLOOKUP(H68,'Claim Amount'!$B$3:$J$24,8,FALSE))</f>
        <v>#N/A</v>
      </c>
      <c r="K68" s="2" t="e">
        <f t="shared" si="1"/>
        <v>#N/A</v>
      </c>
      <c r="L68" t="e" cm="1">
        <f t="array" ref="L68">IF(K68=0,"",[1]!SPELLNUMBER(K68))</f>
        <v>#N/A</v>
      </c>
    </row>
    <row r="69" spans="1:12" x14ac:dyDescent="0.25">
      <c r="A69" t="s">
        <v>211</v>
      </c>
      <c r="B69" t="s">
        <v>125</v>
      </c>
      <c r="C69">
        <f>'Paste here'!AQ69</f>
        <v>0</v>
      </c>
      <c r="D69">
        <f>'Paste here'!AR69</f>
        <v>0</v>
      </c>
      <c r="E69" t="s">
        <v>47</v>
      </c>
      <c r="F69">
        <f>'Paste here'!E69</f>
        <v>0</v>
      </c>
      <c r="G69" s="2">
        <f>'Paste here'!F69</f>
        <v>0</v>
      </c>
      <c r="H69" s="2">
        <f>'Paste here'!G69</f>
        <v>0</v>
      </c>
      <c r="I69" s="2">
        <f>'Paste here'!M69</f>
        <v>0</v>
      </c>
      <c r="J69" s="2" t="e">
        <f>IF(I69*VLOOKUP(H69,'Claim Amount'!$B$3:$J$24,8,FALSE)&lt;VLOOKUP(H69,'Claim Amount'!$B$3:$J$24,9,FALSE),VLOOKUP(H69,'Claim Amount'!$B$3:$J$24,9,FALSE),I69*VLOOKUP(H69,'Claim Amount'!$B$3:$J$24,8,FALSE))</f>
        <v>#N/A</v>
      </c>
      <c r="K69" s="2" t="e">
        <f t="shared" si="1"/>
        <v>#N/A</v>
      </c>
      <c r="L69" t="e" cm="1">
        <f t="array" ref="L69">IF(K69=0,"",[1]!SPELLNUMBER(K69))</f>
        <v>#N/A</v>
      </c>
    </row>
    <row r="70" spans="1:12" x14ac:dyDescent="0.25">
      <c r="A70" t="s">
        <v>212</v>
      </c>
      <c r="B70" t="s">
        <v>125</v>
      </c>
      <c r="C70">
        <f>'Paste here'!AQ70</f>
        <v>0</v>
      </c>
      <c r="D70">
        <f>'Paste here'!AR70</f>
        <v>0</v>
      </c>
      <c r="E70" t="s">
        <v>47</v>
      </c>
      <c r="F70">
        <f>'Paste here'!E70</f>
        <v>0</v>
      </c>
      <c r="G70" s="2">
        <f>'Paste here'!F70</f>
        <v>0</v>
      </c>
      <c r="H70" s="2">
        <f>'Paste here'!G70</f>
        <v>0</v>
      </c>
      <c r="I70" s="2">
        <f>'Paste here'!M70</f>
        <v>0</v>
      </c>
      <c r="J70" s="2" t="e">
        <f>IF(I70*VLOOKUP(H70,'Claim Amount'!$B$3:$J$24,8,FALSE)&lt;VLOOKUP(H70,'Claim Amount'!$B$3:$J$24,9,FALSE),VLOOKUP(H70,'Claim Amount'!$B$3:$J$24,9,FALSE),I70*VLOOKUP(H70,'Claim Amount'!$B$3:$J$24,8,FALSE))</f>
        <v>#N/A</v>
      </c>
      <c r="K70" s="2" t="e">
        <f t="shared" si="1"/>
        <v>#N/A</v>
      </c>
      <c r="L70" t="e" cm="1">
        <f t="array" ref="L70">IF(K70=0,"",[1]!SPELLNUMBER(K70))</f>
        <v>#N/A</v>
      </c>
    </row>
    <row r="71" spans="1:12" x14ac:dyDescent="0.25">
      <c r="A71" t="s">
        <v>213</v>
      </c>
      <c r="B71" t="s">
        <v>125</v>
      </c>
      <c r="C71">
        <f>'Paste here'!AQ71</f>
        <v>0</v>
      </c>
      <c r="D71">
        <f>'Paste here'!AR71</f>
        <v>0</v>
      </c>
      <c r="E71" t="s">
        <v>47</v>
      </c>
      <c r="F71">
        <f>'Paste here'!E71</f>
        <v>0</v>
      </c>
      <c r="G71" s="2">
        <f>'Paste here'!F71</f>
        <v>0</v>
      </c>
      <c r="H71" s="2">
        <f>'Paste here'!G71</f>
        <v>0</v>
      </c>
      <c r="I71" s="2">
        <f>'Paste here'!M71</f>
        <v>0</v>
      </c>
      <c r="J71" s="2" t="e">
        <f>IF(I71*VLOOKUP(H71,'Claim Amount'!$B$3:$J$24,8,FALSE)&lt;VLOOKUP(H71,'Claim Amount'!$B$3:$J$24,9,FALSE),VLOOKUP(H71,'Claim Amount'!$B$3:$J$24,9,FALSE),I71*VLOOKUP(H71,'Claim Amount'!$B$3:$J$24,8,FALSE))</f>
        <v>#N/A</v>
      </c>
      <c r="K71" s="2" t="e">
        <f t="shared" si="1"/>
        <v>#N/A</v>
      </c>
      <c r="L71" t="e" cm="1">
        <f t="array" ref="L71">IF(K71=0,"",[1]!SPELLNUMBER(K71))</f>
        <v>#N/A</v>
      </c>
    </row>
    <row r="72" spans="1:12" x14ac:dyDescent="0.25">
      <c r="A72" t="s">
        <v>214</v>
      </c>
      <c r="B72" t="s">
        <v>125</v>
      </c>
      <c r="C72">
        <f>'Paste here'!AQ72</f>
        <v>0</v>
      </c>
      <c r="D72">
        <f>'Paste here'!AR72</f>
        <v>0</v>
      </c>
      <c r="E72" t="s">
        <v>47</v>
      </c>
      <c r="F72">
        <f>'Paste here'!E72</f>
        <v>0</v>
      </c>
      <c r="G72" s="2">
        <f>'Paste here'!F72</f>
        <v>0</v>
      </c>
      <c r="H72" s="2">
        <f>'Paste here'!G72</f>
        <v>0</v>
      </c>
      <c r="I72" s="2">
        <f>'Paste here'!M72</f>
        <v>0</v>
      </c>
      <c r="J72" s="2" t="e">
        <f>IF(I72*VLOOKUP(H72,'Claim Amount'!$B$3:$J$24,8,FALSE)&lt;VLOOKUP(H72,'Claim Amount'!$B$3:$J$24,9,FALSE),VLOOKUP(H72,'Claim Amount'!$B$3:$J$24,9,FALSE),I72*VLOOKUP(H72,'Claim Amount'!$B$3:$J$24,8,FALSE))</f>
        <v>#N/A</v>
      </c>
      <c r="K72" s="2" t="e">
        <f t="shared" si="1"/>
        <v>#N/A</v>
      </c>
      <c r="L72" t="e" cm="1">
        <f t="array" ref="L72">IF(K72=0,"",[1]!SPELLNUMBER(K72))</f>
        <v>#N/A</v>
      </c>
    </row>
    <row r="73" spans="1:12" x14ac:dyDescent="0.25">
      <c r="A73" t="s">
        <v>215</v>
      </c>
      <c r="B73" t="s">
        <v>125</v>
      </c>
      <c r="C73">
        <f>'Paste here'!AQ73</f>
        <v>0</v>
      </c>
      <c r="D73">
        <f>'Paste here'!AR73</f>
        <v>0</v>
      </c>
      <c r="E73" t="s">
        <v>47</v>
      </c>
      <c r="F73">
        <f>'Paste here'!E73</f>
        <v>0</v>
      </c>
      <c r="G73" s="2">
        <f>'Paste here'!F73</f>
        <v>0</v>
      </c>
      <c r="H73" s="2">
        <f>'Paste here'!G73</f>
        <v>0</v>
      </c>
      <c r="I73" s="2">
        <f>'Paste here'!M73</f>
        <v>0</v>
      </c>
      <c r="J73" s="2" t="e">
        <f>IF(I73*VLOOKUP(H73,'Claim Amount'!$B$3:$J$24,8,FALSE)&lt;VLOOKUP(H73,'Claim Amount'!$B$3:$J$24,9,FALSE),VLOOKUP(H73,'Claim Amount'!$B$3:$J$24,9,FALSE),I73*VLOOKUP(H73,'Claim Amount'!$B$3:$J$24,8,FALSE))</f>
        <v>#N/A</v>
      </c>
      <c r="K73" s="2" t="e">
        <f t="shared" si="1"/>
        <v>#N/A</v>
      </c>
      <c r="L73" t="e" cm="1">
        <f t="array" ref="L73">IF(K73=0,"",[1]!SPELLNUMBER(K73))</f>
        <v>#N/A</v>
      </c>
    </row>
    <row r="74" spans="1:12" x14ac:dyDescent="0.25">
      <c r="A74" t="s">
        <v>216</v>
      </c>
      <c r="B74" t="s">
        <v>125</v>
      </c>
      <c r="C74">
        <f>'Paste here'!AQ74</f>
        <v>0</v>
      </c>
      <c r="D74">
        <f>'Paste here'!AR74</f>
        <v>0</v>
      </c>
      <c r="E74" t="s">
        <v>47</v>
      </c>
      <c r="F74">
        <f>'Paste here'!E74</f>
        <v>0</v>
      </c>
      <c r="G74" s="2">
        <f>'Paste here'!F74</f>
        <v>0</v>
      </c>
      <c r="H74" s="2">
        <f>'Paste here'!G74</f>
        <v>0</v>
      </c>
      <c r="I74" s="2">
        <f>'Paste here'!M74</f>
        <v>0</v>
      </c>
      <c r="J74" s="2" t="e">
        <f>IF(I74*VLOOKUP(H74,'Claim Amount'!$B$3:$J$24,8,FALSE)&lt;VLOOKUP(H74,'Claim Amount'!$B$3:$J$24,9,FALSE),VLOOKUP(H74,'Claim Amount'!$B$3:$J$24,9,FALSE),I74*VLOOKUP(H74,'Claim Amount'!$B$3:$J$24,8,FALSE))</f>
        <v>#N/A</v>
      </c>
      <c r="K74" s="2" t="e">
        <f t="shared" si="1"/>
        <v>#N/A</v>
      </c>
      <c r="L74" t="e" cm="1">
        <f t="array" ref="L74">IF(K74=0,"",[1]!SPELLNUMBER(K74))</f>
        <v>#N/A</v>
      </c>
    </row>
    <row r="75" spans="1:12" x14ac:dyDescent="0.25">
      <c r="A75" t="s">
        <v>217</v>
      </c>
      <c r="B75" t="s">
        <v>125</v>
      </c>
      <c r="C75">
        <f>'Paste here'!AQ75</f>
        <v>0</v>
      </c>
      <c r="D75">
        <f>'Paste here'!AR75</f>
        <v>0</v>
      </c>
      <c r="E75" t="s">
        <v>47</v>
      </c>
      <c r="F75">
        <f>'Paste here'!E75</f>
        <v>0</v>
      </c>
      <c r="G75" s="2">
        <f>'Paste here'!F75</f>
        <v>0</v>
      </c>
      <c r="H75" s="2">
        <f>'Paste here'!G75</f>
        <v>0</v>
      </c>
      <c r="I75" s="2">
        <f>'Paste here'!M75</f>
        <v>0</v>
      </c>
      <c r="J75" s="2" t="e">
        <f>IF(I75*VLOOKUP(H75,'Claim Amount'!$B$3:$J$24,8,FALSE)&lt;VLOOKUP(H75,'Claim Amount'!$B$3:$J$24,9,FALSE),VLOOKUP(H75,'Claim Amount'!$B$3:$J$24,9,FALSE),I75*VLOOKUP(H75,'Claim Amount'!$B$3:$J$24,8,FALSE))</f>
        <v>#N/A</v>
      </c>
      <c r="K75" s="2" t="e">
        <f t="shared" si="1"/>
        <v>#N/A</v>
      </c>
      <c r="L75" t="e" cm="1">
        <f t="array" ref="L75">IF(K75=0,"",[1]!SPELLNUMBER(K75))</f>
        <v>#N/A</v>
      </c>
    </row>
    <row r="76" spans="1:12" x14ac:dyDescent="0.25">
      <c r="A76" t="s">
        <v>218</v>
      </c>
      <c r="B76" t="s">
        <v>125</v>
      </c>
      <c r="C76">
        <f>'Paste here'!AQ76</f>
        <v>0</v>
      </c>
      <c r="D76">
        <f>'Paste here'!AR76</f>
        <v>0</v>
      </c>
      <c r="E76" t="s">
        <v>47</v>
      </c>
      <c r="F76">
        <f>'Paste here'!E76</f>
        <v>0</v>
      </c>
      <c r="G76" s="2">
        <f>'Paste here'!F76</f>
        <v>0</v>
      </c>
      <c r="H76" s="2">
        <f>'Paste here'!G76</f>
        <v>0</v>
      </c>
      <c r="I76" s="2">
        <f>'Paste here'!M76</f>
        <v>0</v>
      </c>
      <c r="J76" s="2" t="e">
        <f>IF(I76*VLOOKUP(H76,'Claim Amount'!$B$3:$J$24,8,FALSE)&lt;VLOOKUP(H76,'Claim Amount'!$B$3:$J$24,9,FALSE),VLOOKUP(H76,'Claim Amount'!$B$3:$J$24,9,FALSE),I76*VLOOKUP(H76,'Claim Amount'!$B$3:$J$24,8,FALSE))</f>
        <v>#N/A</v>
      </c>
      <c r="K76" s="2" t="e">
        <f t="shared" si="1"/>
        <v>#N/A</v>
      </c>
      <c r="L76" t="e" cm="1">
        <f t="array" ref="L76">IF(K76=0,"",[1]!SPELLNUMBER(K76))</f>
        <v>#N/A</v>
      </c>
    </row>
    <row r="77" spans="1:12" x14ac:dyDescent="0.25">
      <c r="A77" t="s">
        <v>219</v>
      </c>
      <c r="B77" t="s">
        <v>125</v>
      </c>
      <c r="C77">
        <f>'Paste here'!AQ77</f>
        <v>0</v>
      </c>
      <c r="D77">
        <f>'Paste here'!AR77</f>
        <v>0</v>
      </c>
      <c r="E77" t="s">
        <v>47</v>
      </c>
      <c r="F77">
        <f>'Paste here'!E77</f>
        <v>0</v>
      </c>
      <c r="G77" s="2">
        <f>'Paste here'!F77</f>
        <v>0</v>
      </c>
      <c r="H77" s="2">
        <f>'Paste here'!G77</f>
        <v>0</v>
      </c>
      <c r="I77" s="2">
        <f>'Paste here'!M77</f>
        <v>0</v>
      </c>
      <c r="J77" s="2" t="e">
        <f>IF(I77*VLOOKUP(H77,'Claim Amount'!$B$3:$J$24,8,FALSE)&lt;VLOOKUP(H77,'Claim Amount'!$B$3:$J$24,9,FALSE),VLOOKUP(H77,'Claim Amount'!$B$3:$J$24,9,FALSE),I77*VLOOKUP(H77,'Claim Amount'!$B$3:$J$24,8,FALSE))</f>
        <v>#N/A</v>
      </c>
      <c r="K77" s="2" t="e">
        <f t="shared" si="1"/>
        <v>#N/A</v>
      </c>
      <c r="L77" t="e" cm="1">
        <f t="array" ref="L77">IF(K77=0,"",[1]!SPELLNUMBER(K77))</f>
        <v>#N/A</v>
      </c>
    </row>
    <row r="78" spans="1:12" x14ac:dyDescent="0.25">
      <c r="A78" t="s">
        <v>220</v>
      </c>
      <c r="B78" t="s">
        <v>125</v>
      </c>
      <c r="C78">
        <f>'Paste here'!AQ78</f>
        <v>0</v>
      </c>
      <c r="D78">
        <f>'Paste here'!AR78</f>
        <v>0</v>
      </c>
      <c r="E78" t="s">
        <v>47</v>
      </c>
      <c r="F78">
        <f>'Paste here'!E78</f>
        <v>0</v>
      </c>
      <c r="G78" s="2">
        <f>'Paste here'!F78</f>
        <v>0</v>
      </c>
      <c r="H78" s="2">
        <f>'Paste here'!G78</f>
        <v>0</v>
      </c>
      <c r="I78" s="2">
        <f>'Paste here'!M78</f>
        <v>0</v>
      </c>
      <c r="J78" s="2" t="e">
        <f>IF(I78*VLOOKUP(H78,'Claim Amount'!$B$3:$J$24,8,FALSE)&lt;VLOOKUP(H78,'Claim Amount'!$B$3:$J$24,9,FALSE),VLOOKUP(H78,'Claim Amount'!$B$3:$J$24,9,FALSE),I78*VLOOKUP(H78,'Claim Amount'!$B$3:$J$24,8,FALSE))</f>
        <v>#N/A</v>
      </c>
      <c r="K78" s="2" t="e">
        <f t="shared" si="1"/>
        <v>#N/A</v>
      </c>
      <c r="L78" t="e" cm="1">
        <f t="array" ref="L78">IF(K78=0,"",[1]!SPELLNUMBER(K78))</f>
        <v>#N/A</v>
      </c>
    </row>
    <row r="79" spans="1:12" x14ac:dyDescent="0.25">
      <c r="A79" t="s">
        <v>221</v>
      </c>
      <c r="B79" t="s">
        <v>125</v>
      </c>
      <c r="C79">
        <f>'Paste here'!AQ79</f>
        <v>0</v>
      </c>
      <c r="D79">
        <f>'Paste here'!AR79</f>
        <v>0</v>
      </c>
      <c r="E79" t="s">
        <v>47</v>
      </c>
      <c r="F79">
        <f>'Paste here'!E79</f>
        <v>0</v>
      </c>
      <c r="G79" s="2">
        <f>'Paste here'!F79</f>
        <v>0</v>
      </c>
      <c r="H79" s="2">
        <f>'Paste here'!G79</f>
        <v>0</v>
      </c>
      <c r="I79" s="2">
        <f>'Paste here'!M79</f>
        <v>0</v>
      </c>
      <c r="J79" s="2" t="e">
        <f>IF(I79*VLOOKUP(H79,'Claim Amount'!$B$3:$J$24,8,FALSE)&lt;VLOOKUP(H79,'Claim Amount'!$B$3:$J$24,9,FALSE),VLOOKUP(H79,'Claim Amount'!$B$3:$J$24,9,FALSE),I79*VLOOKUP(H79,'Claim Amount'!$B$3:$J$24,8,FALSE))</f>
        <v>#N/A</v>
      </c>
      <c r="K79" s="2" t="e">
        <f t="shared" si="1"/>
        <v>#N/A</v>
      </c>
      <c r="L79" t="e" cm="1">
        <f t="array" ref="L79">IF(K79=0,"",[1]!SPELLNUMBER(K79))</f>
        <v>#N/A</v>
      </c>
    </row>
    <row r="80" spans="1:12" x14ac:dyDescent="0.25">
      <c r="A80" t="s">
        <v>222</v>
      </c>
      <c r="B80" t="s">
        <v>125</v>
      </c>
      <c r="C80">
        <f>'Paste here'!AQ80</f>
        <v>0</v>
      </c>
      <c r="D80">
        <f>'Paste here'!AR80</f>
        <v>0</v>
      </c>
      <c r="E80" t="s">
        <v>47</v>
      </c>
      <c r="F80">
        <f>'Paste here'!E80</f>
        <v>0</v>
      </c>
      <c r="G80" s="2">
        <f>'Paste here'!F80</f>
        <v>0</v>
      </c>
      <c r="H80" s="2">
        <f>'Paste here'!G80</f>
        <v>0</v>
      </c>
      <c r="I80" s="2">
        <f>'Paste here'!M80</f>
        <v>0</v>
      </c>
      <c r="J80" s="2" t="e">
        <f>IF(I80*VLOOKUP(H80,'Claim Amount'!$B$3:$J$24,8,FALSE)&lt;VLOOKUP(H80,'Claim Amount'!$B$3:$J$24,9,FALSE),VLOOKUP(H80,'Claim Amount'!$B$3:$J$24,9,FALSE),I80*VLOOKUP(H80,'Claim Amount'!$B$3:$J$24,8,FALSE))</f>
        <v>#N/A</v>
      </c>
      <c r="K80" s="2" t="e">
        <f t="shared" si="1"/>
        <v>#N/A</v>
      </c>
      <c r="L80" t="e" cm="1">
        <f t="array" ref="L80">IF(K80=0,"",[1]!SPELLNUMBER(K80))</f>
        <v>#N/A</v>
      </c>
    </row>
    <row r="81" spans="1:12" x14ac:dyDescent="0.25">
      <c r="A81" t="s">
        <v>223</v>
      </c>
      <c r="B81" t="s">
        <v>125</v>
      </c>
      <c r="C81">
        <f>'Paste here'!AQ81</f>
        <v>0</v>
      </c>
      <c r="D81">
        <f>'Paste here'!AR81</f>
        <v>0</v>
      </c>
      <c r="E81" t="s">
        <v>47</v>
      </c>
      <c r="F81">
        <f>'Paste here'!E81</f>
        <v>0</v>
      </c>
      <c r="G81" s="2">
        <f>'Paste here'!F81</f>
        <v>0</v>
      </c>
      <c r="H81" s="2">
        <f>'Paste here'!G81</f>
        <v>0</v>
      </c>
      <c r="I81" s="2">
        <f>'Paste here'!M81</f>
        <v>0</v>
      </c>
      <c r="J81" s="2" t="e">
        <f>IF(I81*VLOOKUP(H81,'Claim Amount'!$B$3:$J$24,8,FALSE)&lt;VLOOKUP(H81,'Claim Amount'!$B$3:$J$24,9,FALSE),VLOOKUP(H81,'Claim Amount'!$B$3:$J$24,9,FALSE),I81*VLOOKUP(H81,'Claim Amount'!$B$3:$J$24,8,FALSE))</f>
        <v>#N/A</v>
      </c>
      <c r="K81" s="2" t="e">
        <f t="shared" si="1"/>
        <v>#N/A</v>
      </c>
      <c r="L81" t="e" cm="1">
        <f t="array" ref="L81">IF(K81=0,"",[1]!SPELLNUMBER(K81))</f>
        <v>#N/A</v>
      </c>
    </row>
    <row r="82" spans="1:12" x14ac:dyDescent="0.25">
      <c r="A82" t="s">
        <v>224</v>
      </c>
      <c r="B82" t="s">
        <v>125</v>
      </c>
      <c r="C82">
        <f>'Paste here'!AQ82</f>
        <v>0</v>
      </c>
      <c r="D82">
        <f>'Paste here'!AR82</f>
        <v>0</v>
      </c>
      <c r="E82" t="s">
        <v>47</v>
      </c>
      <c r="F82">
        <f>'Paste here'!E82</f>
        <v>0</v>
      </c>
      <c r="G82" s="2">
        <f>'Paste here'!F82</f>
        <v>0</v>
      </c>
      <c r="H82" s="2">
        <f>'Paste here'!G82</f>
        <v>0</v>
      </c>
      <c r="I82" s="2">
        <f>'Paste here'!M82</f>
        <v>0</v>
      </c>
      <c r="J82" s="2" t="e">
        <f>IF(I82*VLOOKUP(H82,'Claim Amount'!$B$3:$J$24,8,FALSE)&lt;VLOOKUP(H82,'Claim Amount'!$B$3:$J$24,9,FALSE),VLOOKUP(H82,'Claim Amount'!$B$3:$J$24,9,FALSE),I82*VLOOKUP(H82,'Claim Amount'!$B$3:$J$24,8,FALSE))</f>
        <v>#N/A</v>
      </c>
      <c r="K82" s="2" t="e">
        <f t="shared" si="1"/>
        <v>#N/A</v>
      </c>
      <c r="L82" t="e" cm="1">
        <f t="array" ref="L82">IF(K82=0,"",[1]!SPELLNUMBER(K82))</f>
        <v>#N/A</v>
      </c>
    </row>
    <row r="83" spans="1:12" x14ac:dyDescent="0.25">
      <c r="A83" t="s">
        <v>225</v>
      </c>
      <c r="B83" t="s">
        <v>125</v>
      </c>
      <c r="C83">
        <f>'Paste here'!AQ83</f>
        <v>0</v>
      </c>
      <c r="D83">
        <f>'Paste here'!AR83</f>
        <v>0</v>
      </c>
      <c r="E83" t="s">
        <v>47</v>
      </c>
      <c r="F83">
        <f>'Paste here'!E83</f>
        <v>0</v>
      </c>
      <c r="G83" s="2">
        <f>'Paste here'!F83</f>
        <v>0</v>
      </c>
      <c r="H83" s="2">
        <f>'Paste here'!G83</f>
        <v>0</v>
      </c>
      <c r="I83" s="2">
        <f>'Paste here'!M83</f>
        <v>0</v>
      </c>
      <c r="J83" s="2" t="e">
        <f>IF(I83*VLOOKUP(H83,'Claim Amount'!$B$3:$J$24,8,FALSE)&lt;VLOOKUP(H83,'Claim Amount'!$B$3:$J$24,9,FALSE),VLOOKUP(H83,'Claim Amount'!$B$3:$J$24,9,FALSE),I83*VLOOKUP(H83,'Claim Amount'!$B$3:$J$24,8,FALSE))</f>
        <v>#N/A</v>
      </c>
      <c r="K83" s="2" t="e">
        <f t="shared" si="1"/>
        <v>#N/A</v>
      </c>
      <c r="L83" t="e" cm="1">
        <f t="array" ref="L83">IF(K83=0,"",[1]!SPELLNUMBER(K83))</f>
        <v>#N/A</v>
      </c>
    </row>
    <row r="84" spans="1:12" x14ac:dyDescent="0.25">
      <c r="A84" t="s">
        <v>226</v>
      </c>
      <c r="B84" t="s">
        <v>125</v>
      </c>
      <c r="C84">
        <f>'Paste here'!AQ84</f>
        <v>0</v>
      </c>
      <c r="D84">
        <f>'Paste here'!AR84</f>
        <v>0</v>
      </c>
      <c r="E84" t="s">
        <v>47</v>
      </c>
      <c r="F84">
        <f>'Paste here'!E84</f>
        <v>0</v>
      </c>
      <c r="G84" s="2">
        <f>'Paste here'!F84</f>
        <v>0</v>
      </c>
      <c r="H84" s="2">
        <f>'Paste here'!G84</f>
        <v>0</v>
      </c>
      <c r="I84" s="2">
        <f>'Paste here'!M84</f>
        <v>0</v>
      </c>
      <c r="J84" s="2" t="e">
        <f>IF(I84*VLOOKUP(H84,'Claim Amount'!$B$3:$J$24,8,FALSE)&lt;VLOOKUP(H84,'Claim Amount'!$B$3:$J$24,9,FALSE),VLOOKUP(H84,'Claim Amount'!$B$3:$J$24,9,FALSE),I84*VLOOKUP(H84,'Claim Amount'!$B$3:$J$24,8,FALSE))</f>
        <v>#N/A</v>
      </c>
      <c r="K84" s="2" t="e">
        <f t="shared" si="1"/>
        <v>#N/A</v>
      </c>
      <c r="L84" t="e" cm="1">
        <f t="array" ref="L84">IF(K84=0,"",[1]!SPELLNUMBER(K84))</f>
        <v>#N/A</v>
      </c>
    </row>
    <row r="85" spans="1:12" x14ac:dyDescent="0.25">
      <c r="A85" t="s">
        <v>227</v>
      </c>
      <c r="B85" t="s">
        <v>125</v>
      </c>
      <c r="C85">
        <f>'Paste here'!AQ85</f>
        <v>0</v>
      </c>
      <c r="D85">
        <f>'Paste here'!AR85</f>
        <v>0</v>
      </c>
      <c r="E85" t="s">
        <v>47</v>
      </c>
      <c r="F85">
        <f>'Paste here'!E85</f>
        <v>0</v>
      </c>
      <c r="G85" s="2">
        <f>'Paste here'!F85</f>
        <v>0</v>
      </c>
      <c r="H85" s="2">
        <f>'Paste here'!G85</f>
        <v>0</v>
      </c>
      <c r="I85" s="2">
        <f>'Paste here'!M85</f>
        <v>0</v>
      </c>
      <c r="J85" s="2" t="e">
        <f>IF(I85*VLOOKUP(H85,'Claim Amount'!$B$3:$J$24,8,FALSE)&lt;VLOOKUP(H85,'Claim Amount'!$B$3:$J$24,9,FALSE),VLOOKUP(H85,'Claim Amount'!$B$3:$J$24,9,FALSE),I85*VLOOKUP(H85,'Claim Amount'!$B$3:$J$24,8,FALSE))</f>
        <v>#N/A</v>
      </c>
      <c r="K85" s="2" t="e">
        <f t="shared" si="1"/>
        <v>#N/A</v>
      </c>
      <c r="L85" t="e" cm="1">
        <f t="array" ref="L85">IF(K85=0,"",[1]!SPELLNUMBER(K85))</f>
        <v>#N/A</v>
      </c>
    </row>
    <row r="86" spans="1:12" x14ac:dyDescent="0.25">
      <c r="A86" t="s">
        <v>228</v>
      </c>
      <c r="B86" t="s">
        <v>125</v>
      </c>
      <c r="C86">
        <f>'Paste here'!AQ86</f>
        <v>0</v>
      </c>
      <c r="D86">
        <f>'Paste here'!AR86</f>
        <v>0</v>
      </c>
      <c r="E86" t="s">
        <v>47</v>
      </c>
      <c r="F86">
        <f>'Paste here'!E86</f>
        <v>0</v>
      </c>
      <c r="G86" s="2">
        <f>'Paste here'!F86</f>
        <v>0</v>
      </c>
      <c r="H86" s="2">
        <f>'Paste here'!G86</f>
        <v>0</v>
      </c>
      <c r="I86" s="2">
        <f>'Paste here'!M86</f>
        <v>0</v>
      </c>
      <c r="J86" s="2" t="e">
        <f>IF(I86*VLOOKUP(H86,'Claim Amount'!$B$3:$J$24,8,FALSE)&lt;VLOOKUP(H86,'Claim Amount'!$B$3:$J$24,9,FALSE),VLOOKUP(H86,'Claim Amount'!$B$3:$J$24,9,FALSE),I86*VLOOKUP(H86,'Claim Amount'!$B$3:$J$24,8,FALSE))</f>
        <v>#N/A</v>
      </c>
      <c r="K86" s="2" t="e">
        <f t="shared" si="1"/>
        <v>#N/A</v>
      </c>
      <c r="L86" t="e" cm="1">
        <f t="array" ref="L86">IF(K86=0,"",[1]!SPELLNUMBER(K86))</f>
        <v>#N/A</v>
      </c>
    </row>
    <row r="87" spans="1:12" x14ac:dyDescent="0.25">
      <c r="A87" t="s">
        <v>229</v>
      </c>
      <c r="B87" t="s">
        <v>125</v>
      </c>
      <c r="C87">
        <f>'Paste here'!AQ87</f>
        <v>0</v>
      </c>
      <c r="D87">
        <f>'Paste here'!AR87</f>
        <v>0</v>
      </c>
      <c r="E87" t="s">
        <v>47</v>
      </c>
      <c r="F87">
        <f>'Paste here'!E87</f>
        <v>0</v>
      </c>
      <c r="G87" s="2">
        <f>'Paste here'!F87</f>
        <v>0</v>
      </c>
      <c r="H87" s="2">
        <f>'Paste here'!G87</f>
        <v>0</v>
      </c>
      <c r="I87" s="2">
        <f>'Paste here'!M87</f>
        <v>0</v>
      </c>
      <c r="J87" s="2" t="e">
        <f>IF(I87*VLOOKUP(H87,'Claim Amount'!$B$3:$J$24,8,FALSE)&lt;VLOOKUP(H87,'Claim Amount'!$B$3:$J$24,9,FALSE),VLOOKUP(H87,'Claim Amount'!$B$3:$J$24,9,FALSE),I87*VLOOKUP(H87,'Claim Amount'!$B$3:$J$24,8,FALSE))</f>
        <v>#N/A</v>
      </c>
      <c r="K87" s="2" t="e">
        <f t="shared" si="1"/>
        <v>#N/A</v>
      </c>
      <c r="L87" t="e" cm="1">
        <f t="array" ref="L87">IF(K87=0,"",[1]!SPELLNUMBER(K87))</f>
        <v>#N/A</v>
      </c>
    </row>
    <row r="88" spans="1:12" x14ac:dyDescent="0.25">
      <c r="A88" t="s">
        <v>230</v>
      </c>
      <c r="B88" t="s">
        <v>125</v>
      </c>
      <c r="C88">
        <f>'Paste here'!AQ88</f>
        <v>0</v>
      </c>
      <c r="D88">
        <f>'Paste here'!AR88</f>
        <v>0</v>
      </c>
      <c r="E88" t="s">
        <v>47</v>
      </c>
      <c r="F88">
        <f>'Paste here'!E88</f>
        <v>0</v>
      </c>
      <c r="G88" s="2">
        <f>'Paste here'!F88</f>
        <v>0</v>
      </c>
      <c r="H88" s="2">
        <f>'Paste here'!G88</f>
        <v>0</v>
      </c>
      <c r="I88" s="2">
        <f>'Paste here'!M88</f>
        <v>0</v>
      </c>
      <c r="J88" s="2" t="e">
        <f>IF(I88*VLOOKUP(H88,'Claim Amount'!$B$3:$J$24,8,FALSE)&lt;VLOOKUP(H88,'Claim Amount'!$B$3:$J$24,9,FALSE),VLOOKUP(H88,'Claim Amount'!$B$3:$J$24,9,FALSE),I88*VLOOKUP(H88,'Claim Amount'!$B$3:$J$24,8,FALSE))</f>
        <v>#N/A</v>
      </c>
      <c r="K88" s="2" t="e">
        <f t="shared" si="1"/>
        <v>#N/A</v>
      </c>
      <c r="L88" t="e" cm="1">
        <f t="array" ref="L88">IF(K88=0,"",[1]!SPELLNUMBER(K88))</f>
        <v>#N/A</v>
      </c>
    </row>
    <row r="89" spans="1:12" x14ac:dyDescent="0.25">
      <c r="A89" t="s">
        <v>231</v>
      </c>
      <c r="B89" t="s">
        <v>125</v>
      </c>
      <c r="C89">
        <f>'Paste here'!AQ89</f>
        <v>0</v>
      </c>
      <c r="D89">
        <f>'Paste here'!AR89</f>
        <v>0</v>
      </c>
      <c r="E89" t="s">
        <v>47</v>
      </c>
      <c r="F89">
        <f>'Paste here'!E89</f>
        <v>0</v>
      </c>
      <c r="G89" s="2">
        <f>'Paste here'!F89</f>
        <v>0</v>
      </c>
      <c r="H89" s="2">
        <f>'Paste here'!G89</f>
        <v>0</v>
      </c>
      <c r="I89" s="2">
        <f>'Paste here'!M89</f>
        <v>0</v>
      </c>
      <c r="J89" s="2" t="e">
        <f>IF(I89*VLOOKUP(H89,'Claim Amount'!$B$3:$J$24,8,FALSE)&lt;VLOOKUP(H89,'Claim Amount'!$B$3:$J$24,9,FALSE),VLOOKUP(H89,'Claim Amount'!$B$3:$J$24,9,FALSE),I89*VLOOKUP(H89,'Claim Amount'!$B$3:$J$24,8,FALSE))</f>
        <v>#N/A</v>
      </c>
      <c r="K89" s="2" t="e">
        <f t="shared" si="1"/>
        <v>#N/A</v>
      </c>
      <c r="L89" t="e" cm="1">
        <f t="array" ref="L89">IF(K89=0,"",[1]!SPELLNUMBER(K89))</f>
        <v>#N/A</v>
      </c>
    </row>
    <row r="90" spans="1:12" x14ac:dyDescent="0.25">
      <c r="A90" t="s">
        <v>232</v>
      </c>
      <c r="B90" t="s">
        <v>125</v>
      </c>
      <c r="C90">
        <f>'Paste here'!AQ90</f>
        <v>0</v>
      </c>
      <c r="D90">
        <f>'Paste here'!AR90</f>
        <v>0</v>
      </c>
      <c r="E90" t="s">
        <v>47</v>
      </c>
      <c r="F90">
        <f>'Paste here'!E90</f>
        <v>0</v>
      </c>
      <c r="G90" s="2">
        <f>'Paste here'!F90</f>
        <v>0</v>
      </c>
      <c r="H90" s="2">
        <f>'Paste here'!G90</f>
        <v>0</v>
      </c>
      <c r="I90" s="2">
        <f>'Paste here'!M90</f>
        <v>0</v>
      </c>
      <c r="J90" s="2" t="e">
        <f>IF(I90*VLOOKUP(H90,'Claim Amount'!$B$3:$J$24,8,FALSE)&lt;VLOOKUP(H90,'Claim Amount'!$B$3:$J$24,9,FALSE),VLOOKUP(H90,'Claim Amount'!$B$3:$J$24,9,FALSE),I90*VLOOKUP(H90,'Claim Amount'!$B$3:$J$24,8,FALSE))</f>
        <v>#N/A</v>
      </c>
      <c r="K90" s="2" t="e">
        <f t="shared" si="1"/>
        <v>#N/A</v>
      </c>
      <c r="L90" t="e" cm="1">
        <f t="array" ref="L90">IF(K90=0,"",[1]!SPELLNUMBER(K90))</f>
        <v>#N/A</v>
      </c>
    </row>
    <row r="91" spans="1:12" x14ac:dyDescent="0.25">
      <c r="A91" t="s">
        <v>233</v>
      </c>
      <c r="B91" t="s">
        <v>125</v>
      </c>
      <c r="C91">
        <f>'Paste here'!AQ91</f>
        <v>0</v>
      </c>
      <c r="D91">
        <f>'Paste here'!AR91</f>
        <v>0</v>
      </c>
      <c r="E91" t="s">
        <v>47</v>
      </c>
      <c r="F91">
        <f>'Paste here'!E91</f>
        <v>0</v>
      </c>
      <c r="G91" s="2">
        <f>'Paste here'!F91</f>
        <v>0</v>
      </c>
      <c r="H91" s="2">
        <f>'Paste here'!G91</f>
        <v>0</v>
      </c>
      <c r="I91" s="2">
        <f>'Paste here'!M91</f>
        <v>0</v>
      </c>
      <c r="J91" s="2" t="e">
        <f>IF(I91*VLOOKUP(H91,'Claim Amount'!$B$3:$J$24,8,FALSE)&lt;VLOOKUP(H91,'Claim Amount'!$B$3:$J$24,9,FALSE),VLOOKUP(H91,'Claim Amount'!$B$3:$J$24,9,FALSE),I91*VLOOKUP(H91,'Claim Amount'!$B$3:$J$24,8,FALSE))</f>
        <v>#N/A</v>
      </c>
      <c r="K91" s="2" t="e">
        <f t="shared" si="1"/>
        <v>#N/A</v>
      </c>
      <c r="L91" t="e" cm="1">
        <f t="array" ref="L91">IF(K91=0,"",[1]!SPELLNUMBER(K91))</f>
        <v>#N/A</v>
      </c>
    </row>
    <row r="92" spans="1:12" x14ac:dyDescent="0.25">
      <c r="A92" t="s">
        <v>234</v>
      </c>
      <c r="B92" t="s">
        <v>125</v>
      </c>
      <c r="C92">
        <f>'Paste here'!AQ92</f>
        <v>0</v>
      </c>
      <c r="D92">
        <f>'Paste here'!AR92</f>
        <v>0</v>
      </c>
      <c r="E92" t="s">
        <v>47</v>
      </c>
      <c r="F92">
        <f>'Paste here'!E92</f>
        <v>0</v>
      </c>
      <c r="G92" s="2">
        <f>'Paste here'!F92</f>
        <v>0</v>
      </c>
      <c r="H92" s="2">
        <f>'Paste here'!G92</f>
        <v>0</v>
      </c>
      <c r="I92" s="2">
        <f>'Paste here'!M92</f>
        <v>0</v>
      </c>
      <c r="J92" s="2" t="e">
        <f>IF(I92*VLOOKUP(H92,'Claim Amount'!$B$3:$J$24,8,FALSE)&lt;VLOOKUP(H92,'Claim Amount'!$B$3:$J$24,9,FALSE),VLOOKUP(H92,'Claim Amount'!$B$3:$J$24,9,FALSE),I92*VLOOKUP(H92,'Claim Amount'!$B$3:$J$24,8,FALSE))</f>
        <v>#N/A</v>
      </c>
      <c r="K92" s="2" t="e">
        <f t="shared" si="1"/>
        <v>#N/A</v>
      </c>
      <c r="L92" t="e" cm="1">
        <f t="array" ref="L92">IF(K92=0,"",[1]!SPELLNUMBER(K92))</f>
        <v>#N/A</v>
      </c>
    </row>
    <row r="93" spans="1:12" x14ac:dyDescent="0.25">
      <c r="A93" t="s">
        <v>235</v>
      </c>
      <c r="B93" t="s">
        <v>125</v>
      </c>
      <c r="C93">
        <f>'Paste here'!AQ93</f>
        <v>0</v>
      </c>
      <c r="D93">
        <f>'Paste here'!AR93</f>
        <v>0</v>
      </c>
      <c r="E93" t="s">
        <v>47</v>
      </c>
      <c r="F93">
        <f>'Paste here'!E93</f>
        <v>0</v>
      </c>
      <c r="G93" s="2">
        <f>'Paste here'!F93</f>
        <v>0</v>
      </c>
      <c r="H93" s="2">
        <f>'Paste here'!G93</f>
        <v>0</v>
      </c>
      <c r="I93" s="2">
        <f>'Paste here'!M93</f>
        <v>0</v>
      </c>
      <c r="J93" s="2" t="e">
        <f>IF(I93*VLOOKUP(H93,'Claim Amount'!$B$3:$J$24,8,FALSE)&lt;VLOOKUP(H93,'Claim Amount'!$B$3:$J$24,9,FALSE),VLOOKUP(H93,'Claim Amount'!$B$3:$J$24,9,FALSE),I93*VLOOKUP(H93,'Claim Amount'!$B$3:$J$24,8,FALSE))</f>
        <v>#N/A</v>
      </c>
      <c r="K93" s="2" t="e">
        <f t="shared" si="1"/>
        <v>#N/A</v>
      </c>
      <c r="L93" t="e" cm="1">
        <f t="array" ref="L93">IF(K93=0,"",[1]!SPELLNUMBER(K93))</f>
        <v>#N/A</v>
      </c>
    </row>
    <row r="94" spans="1:12" x14ac:dyDescent="0.25">
      <c r="A94" t="s">
        <v>236</v>
      </c>
      <c r="B94" t="s">
        <v>125</v>
      </c>
      <c r="C94">
        <f>'Paste here'!AQ94</f>
        <v>0</v>
      </c>
      <c r="D94">
        <f>'Paste here'!AR94</f>
        <v>0</v>
      </c>
      <c r="E94" t="s">
        <v>47</v>
      </c>
      <c r="F94">
        <f>'Paste here'!E94</f>
        <v>0</v>
      </c>
      <c r="G94" s="2">
        <f>'Paste here'!F94</f>
        <v>0</v>
      </c>
      <c r="H94" s="2">
        <f>'Paste here'!G94</f>
        <v>0</v>
      </c>
      <c r="I94" s="2">
        <f>'Paste here'!M94</f>
        <v>0</v>
      </c>
      <c r="J94" s="2" t="e">
        <f>IF(I94*VLOOKUP(H94,'Claim Amount'!$B$3:$J$24,8,FALSE)&lt;VLOOKUP(H94,'Claim Amount'!$B$3:$J$24,9,FALSE),VLOOKUP(H94,'Claim Amount'!$B$3:$J$24,9,FALSE),I94*VLOOKUP(H94,'Claim Amount'!$B$3:$J$24,8,FALSE))</f>
        <v>#N/A</v>
      </c>
      <c r="K94" s="2" t="e">
        <f t="shared" si="1"/>
        <v>#N/A</v>
      </c>
      <c r="L94" t="e" cm="1">
        <f t="array" ref="L94">IF(K94=0,"",[1]!SPELLNUMBER(K94))</f>
        <v>#N/A</v>
      </c>
    </row>
    <row r="95" spans="1:12" x14ac:dyDescent="0.25">
      <c r="A95" t="s">
        <v>237</v>
      </c>
      <c r="B95" t="s">
        <v>125</v>
      </c>
      <c r="C95">
        <f>'Paste here'!AQ95</f>
        <v>0</v>
      </c>
      <c r="D95">
        <f>'Paste here'!AR95</f>
        <v>0</v>
      </c>
      <c r="E95" t="s">
        <v>47</v>
      </c>
      <c r="F95">
        <f>'Paste here'!E95</f>
        <v>0</v>
      </c>
      <c r="G95" s="2">
        <f>'Paste here'!F95</f>
        <v>0</v>
      </c>
      <c r="H95" s="2">
        <f>'Paste here'!G95</f>
        <v>0</v>
      </c>
      <c r="I95" s="2">
        <f>'Paste here'!M95</f>
        <v>0</v>
      </c>
      <c r="J95" s="2" t="e">
        <f>IF(I95*VLOOKUP(H95,'Claim Amount'!$B$3:$J$24,8,FALSE)&lt;VLOOKUP(H95,'Claim Amount'!$B$3:$J$24,9,FALSE),VLOOKUP(H95,'Claim Amount'!$B$3:$J$24,9,FALSE),I95*VLOOKUP(H95,'Claim Amount'!$B$3:$J$24,8,FALSE))</f>
        <v>#N/A</v>
      </c>
      <c r="K95" s="2" t="e">
        <f t="shared" si="1"/>
        <v>#N/A</v>
      </c>
      <c r="L95" t="e" cm="1">
        <f t="array" ref="L95">IF(K95=0,"",[1]!SPELLNUMBER(K95))</f>
        <v>#N/A</v>
      </c>
    </row>
    <row r="96" spans="1:12" x14ac:dyDescent="0.25">
      <c r="A96" t="s">
        <v>238</v>
      </c>
      <c r="B96" t="s">
        <v>125</v>
      </c>
      <c r="C96">
        <f>'Paste here'!AQ96</f>
        <v>0</v>
      </c>
      <c r="D96">
        <f>'Paste here'!AR96</f>
        <v>0</v>
      </c>
      <c r="E96" t="s">
        <v>47</v>
      </c>
      <c r="F96">
        <f>'Paste here'!E96</f>
        <v>0</v>
      </c>
      <c r="G96" s="2">
        <f>'Paste here'!F96</f>
        <v>0</v>
      </c>
      <c r="H96" s="2">
        <f>'Paste here'!G96</f>
        <v>0</v>
      </c>
      <c r="I96" s="2">
        <f>'Paste here'!M96</f>
        <v>0</v>
      </c>
      <c r="J96" s="2" t="e">
        <f>IF(I96*VLOOKUP(H96,'Claim Amount'!$B$3:$J$24,8,FALSE)&lt;VLOOKUP(H96,'Claim Amount'!$B$3:$J$24,9,FALSE),VLOOKUP(H96,'Claim Amount'!$B$3:$J$24,9,FALSE),I96*VLOOKUP(H96,'Claim Amount'!$B$3:$J$24,8,FALSE))</f>
        <v>#N/A</v>
      </c>
      <c r="K96" s="2" t="e">
        <f t="shared" si="1"/>
        <v>#N/A</v>
      </c>
      <c r="L96" t="e" cm="1">
        <f t="array" ref="L96">IF(K96=0,"",[1]!SPELLNUMBER(K96))</f>
        <v>#N/A</v>
      </c>
    </row>
    <row r="97" spans="1:12" x14ac:dyDescent="0.25">
      <c r="A97" t="s">
        <v>239</v>
      </c>
      <c r="B97" t="s">
        <v>125</v>
      </c>
      <c r="C97">
        <f>'Paste here'!AQ97</f>
        <v>0</v>
      </c>
      <c r="D97">
        <f>'Paste here'!AR97</f>
        <v>0</v>
      </c>
      <c r="E97" t="s">
        <v>47</v>
      </c>
      <c r="F97">
        <f>'Paste here'!E97</f>
        <v>0</v>
      </c>
      <c r="G97" s="2">
        <f>'Paste here'!F97</f>
        <v>0</v>
      </c>
      <c r="H97" s="2">
        <f>'Paste here'!G97</f>
        <v>0</v>
      </c>
      <c r="I97" s="2">
        <f>'Paste here'!M97</f>
        <v>0</v>
      </c>
      <c r="J97" s="2" t="e">
        <f>IF(I97*VLOOKUP(H97,'Claim Amount'!$B$3:$J$24,8,FALSE)&lt;VLOOKUP(H97,'Claim Amount'!$B$3:$J$24,9,FALSE),VLOOKUP(H97,'Claim Amount'!$B$3:$J$24,9,FALSE),I97*VLOOKUP(H97,'Claim Amount'!$B$3:$J$24,8,FALSE))</f>
        <v>#N/A</v>
      </c>
      <c r="K97" s="2" t="e">
        <f t="shared" si="1"/>
        <v>#N/A</v>
      </c>
      <c r="L97" t="e" cm="1">
        <f t="array" ref="L97">IF(K97=0,"",[1]!SPELLNUMBER(K97))</f>
        <v>#N/A</v>
      </c>
    </row>
    <row r="98" spans="1:12" x14ac:dyDescent="0.25">
      <c r="A98" t="s">
        <v>240</v>
      </c>
      <c r="B98" t="s">
        <v>125</v>
      </c>
      <c r="C98">
        <f>'Paste here'!AQ98</f>
        <v>0</v>
      </c>
      <c r="D98">
        <f>'Paste here'!AR98</f>
        <v>0</v>
      </c>
      <c r="E98" t="s">
        <v>47</v>
      </c>
      <c r="F98">
        <f>'Paste here'!E98</f>
        <v>0</v>
      </c>
      <c r="G98" s="2">
        <f>'Paste here'!F98</f>
        <v>0</v>
      </c>
      <c r="H98" s="2">
        <f>'Paste here'!G98</f>
        <v>0</v>
      </c>
      <c r="I98" s="2">
        <f>'Paste here'!M98</f>
        <v>0</v>
      </c>
      <c r="J98" s="2" t="e">
        <f>IF(I98*VLOOKUP(H98,'Claim Amount'!$B$3:$J$24,8,FALSE)&lt;VLOOKUP(H98,'Claim Amount'!$B$3:$J$24,9,FALSE),VLOOKUP(H98,'Claim Amount'!$B$3:$J$24,9,FALSE),I98*VLOOKUP(H98,'Claim Amount'!$B$3:$J$24,8,FALSE))</f>
        <v>#N/A</v>
      </c>
      <c r="K98" s="2" t="e">
        <f t="shared" si="1"/>
        <v>#N/A</v>
      </c>
      <c r="L98" t="e" cm="1">
        <f t="array" ref="L98">IF(K98=0,"",[1]!SPELLNUMBER(K98))</f>
        <v>#N/A</v>
      </c>
    </row>
    <row r="99" spans="1:12" x14ac:dyDescent="0.25">
      <c r="A99" t="s">
        <v>241</v>
      </c>
      <c r="B99" t="s">
        <v>125</v>
      </c>
      <c r="C99">
        <f>'Paste here'!AQ99</f>
        <v>0</v>
      </c>
      <c r="D99">
        <f>'Paste here'!AR99</f>
        <v>0</v>
      </c>
      <c r="E99" t="s">
        <v>47</v>
      </c>
      <c r="F99">
        <f>'Paste here'!E99</f>
        <v>0</v>
      </c>
      <c r="G99" s="2">
        <f>'Paste here'!F99</f>
        <v>0</v>
      </c>
      <c r="H99" s="2">
        <f>'Paste here'!G99</f>
        <v>0</v>
      </c>
      <c r="I99" s="2">
        <f>'Paste here'!M99</f>
        <v>0</v>
      </c>
      <c r="J99" s="2" t="e">
        <f>IF(I99*VLOOKUP(H99,'Claim Amount'!$B$3:$J$24,8,FALSE)&lt;VLOOKUP(H99,'Claim Amount'!$B$3:$J$24,9,FALSE),VLOOKUP(H99,'Claim Amount'!$B$3:$J$24,9,FALSE),I99*VLOOKUP(H99,'Claim Amount'!$B$3:$J$24,8,FALSE))</f>
        <v>#N/A</v>
      </c>
      <c r="K99" s="2" t="e">
        <f t="shared" si="1"/>
        <v>#N/A</v>
      </c>
      <c r="L99" t="e" cm="1">
        <f t="array" ref="L99">IF(K99=0,"",[1]!SPELLNUMBER(K99))</f>
        <v>#N/A</v>
      </c>
    </row>
    <row r="100" spans="1:12" x14ac:dyDescent="0.25">
      <c r="A100" t="s">
        <v>242</v>
      </c>
      <c r="B100" t="s">
        <v>125</v>
      </c>
      <c r="C100">
        <f>'Paste here'!AQ100</f>
        <v>0</v>
      </c>
      <c r="D100">
        <f>'Paste here'!AR100</f>
        <v>0</v>
      </c>
      <c r="E100" t="s">
        <v>47</v>
      </c>
      <c r="F100">
        <f>'Paste here'!E100</f>
        <v>0</v>
      </c>
      <c r="G100" s="2">
        <f>'Paste here'!F100</f>
        <v>0</v>
      </c>
      <c r="H100" s="2">
        <f>'Paste here'!G100</f>
        <v>0</v>
      </c>
      <c r="I100" s="2">
        <f>'Paste here'!M100</f>
        <v>0</v>
      </c>
      <c r="J100" s="2" t="e">
        <f>IF(I100*VLOOKUP(H100,'Claim Amount'!$B$3:$J$24,8,FALSE)&lt;VLOOKUP(H100,'Claim Amount'!$B$3:$J$24,9,FALSE),VLOOKUP(H100,'Claim Amount'!$B$3:$J$24,9,FALSE),I100*VLOOKUP(H100,'Claim Amount'!$B$3:$J$24,8,FALSE))</f>
        <v>#N/A</v>
      </c>
      <c r="K100" s="2" t="e">
        <f t="shared" si="1"/>
        <v>#N/A</v>
      </c>
      <c r="L100" t="e" cm="1">
        <f t="array" ref="L100">IF(K100=0,"",[1]!SPELLNUMBER(K100))</f>
        <v>#N/A</v>
      </c>
    </row>
    <row r="101" spans="1:12" x14ac:dyDescent="0.25">
      <c r="A101" t="s">
        <v>243</v>
      </c>
      <c r="B101" t="s">
        <v>125</v>
      </c>
      <c r="C101">
        <f>'Paste here'!AQ101</f>
        <v>0</v>
      </c>
      <c r="D101">
        <f>'Paste here'!AR101</f>
        <v>0</v>
      </c>
      <c r="E101" t="s">
        <v>47</v>
      </c>
      <c r="F101">
        <f>'Paste here'!E101</f>
        <v>0</v>
      </c>
      <c r="G101" s="2">
        <f>'Paste here'!F101</f>
        <v>0</v>
      </c>
      <c r="H101" s="2">
        <f>'Paste here'!G101</f>
        <v>0</v>
      </c>
      <c r="I101" s="2">
        <f>'Paste here'!M101</f>
        <v>0</v>
      </c>
      <c r="J101" s="2" t="e">
        <f>IF(I101*VLOOKUP(H101,'Claim Amount'!$B$3:$J$24,8,FALSE)&lt;VLOOKUP(H101,'Claim Amount'!$B$3:$J$24,9,FALSE),VLOOKUP(H101,'Claim Amount'!$B$3:$J$24,9,FALSE),I101*VLOOKUP(H101,'Claim Amount'!$B$3:$J$24,8,FALSE))</f>
        <v>#N/A</v>
      </c>
      <c r="K101" s="2" t="e">
        <f t="shared" si="1"/>
        <v>#N/A</v>
      </c>
      <c r="L101" t="e" cm="1">
        <f t="array" ref="L101">IF(K101=0,"",[1]!SPELLNUMBER(K101))</f>
        <v>#N/A</v>
      </c>
    </row>
    <row r="102" spans="1:12" x14ac:dyDescent="0.25">
      <c r="A102" t="s">
        <v>244</v>
      </c>
      <c r="B102" t="s">
        <v>125</v>
      </c>
      <c r="C102">
        <f>'Paste here'!AQ102</f>
        <v>0</v>
      </c>
      <c r="D102">
        <f>'Paste here'!AR102</f>
        <v>0</v>
      </c>
      <c r="E102" t="s">
        <v>47</v>
      </c>
      <c r="F102">
        <f>'Paste here'!E102</f>
        <v>0</v>
      </c>
      <c r="G102" s="2">
        <f>'Paste here'!F102</f>
        <v>0</v>
      </c>
      <c r="H102" s="2">
        <f>'Paste here'!G102</f>
        <v>0</v>
      </c>
      <c r="I102" s="2">
        <f>'Paste here'!M102</f>
        <v>0</v>
      </c>
      <c r="J102" s="2" t="e">
        <f>IF(I102*VLOOKUP(H102,'Claim Amount'!$B$3:$J$24,8,FALSE)&lt;VLOOKUP(H102,'Claim Amount'!$B$3:$J$24,9,FALSE),VLOOKUP(H102,'Claim Amount'!$B$3:$J$24,9,FALSE),I102*VLOOKUP(H102,'Claim Amount'!$B$3:$J$24,8,FALSE))</f>
        <v>#N/A</v>
      </c>
      <c r="K102" s="2" t="e">
        <f t="shared" si="1"/>
        <v>#N/A</v>
      </c>
      <c r="L102" t="e" cm="1">
        <f t="array" ref="L102">IF(K102=0,"",[1]!SPELLNUMBER(K102))</f>
        <v>#N/A</v>
      </c>
    </row>
    <row r="103" spans="1:12" x14ac:dyDescent="0.25">
      <c r="A103" t="s">
        <v>245</v>
      </c>
      <c r="B103" t="s">
        <v>125</v>
      </c>
      <c r="C103">
        <f>'Paste here'!AQ103</f>
        <v>0</v>
      </c>
      <c r="D103">
        <f>'Paste here'!AR103</f>
        <v>0</v>
      </c>
      <c r="E103" t="s">
        <v>47</v>
      </c>
      <c r="F103">
        <f>'Paste here'!E103</f>
        <v>0</v>
      </c>
      <c r="G103" s="2">
        <f>'Paste here'!F103</f>
        <v>0</v>
      </c>
      <c r="H103" s="2">
        <f>'Paste here'!G103</f>
        <v>0</v>
      </c>
      <c r="I103" s="2">
        <f>'Paste here'!M103</f>
        <v>0</v>
      </c>
      <c r="J103" s="2" t="e">
        <f>IF(I103*VLOOKUP(H103,'Claim Amount'!$B$3:$J$24,8,FALSE)&lt;VLOOKUP(H103,'Claim Amount'!$B$3:$J$24,9,FALSE),VLOOKUP(H103,'Claim Amount'!$B$3:$J$24,9,FALSE),I103*VLOOKUP(H103,'Claim Amount'!$B$3:$J$24,8,FALSE))</f>
        <v>#N/A</v>
      </c>
      <c r="K103" s="2" t="e">
        <f t="shared" si="1"/>
        <v>#N/A</v>
      </c>
      <c r="L103" t="e" cm="1">
        <f t="array" ref="L103">IF(K103=0,"",[1]!SPELLNUMBER(K103))</f>
        <v>#N/A</v>
      </c>
    </row>
    <row r="104" spans="1:12" x14ac:dyDescent="0.25">
      <c r="A104" t="s">
        <v>246</v>
      </c>
      <c r="B104" t="s">
        <v>125</v>
      </c>
      <c r="C104">
        <f>'Paste here'!AQ104</f>
        <v>0</v>
      </c>
      <c r="D104">
        <f>'Paste here'!AR104</f>
        <v>0</v>
      </c>
      <c r="E104" t="s">
        <v>47</v>
      </c>
      <c r="F104">
        <f>'Paste here'!E104</f>
        <v>0</v>
      </c>
      <c r="G104" s="2">
        <f>'Paste here'!F104</f>
        <v>0</v>
      </c>
      <c r="H104" s="2">
        <f>'Paste here'!G104</f>
        <v>0</v>
      </c>
      <c r="I104" s="2">
        <f>'Paste here'!M104</f>
        <v>0</v>
      </c>
      <c r="J104" s="2" t="e">
        <f>IF(I104*VLOOKUP(H104,'Claim Amount'!$B$3:$J$24,8,FALSE)&lt;VLOOKUP(H104,'Claim Amount'!$B$3:$J$24,9,FALSE),VLOOKUP(H104,'Claim Amount'!$B$3:$J$24,9,FALSE),I104*VLOOKUP(H104,'Claim Amount'!$B$3:$J$24,8,FALSE))</f>
        <v>#N/A</v>
      </c>
      <c r="K104" s="2" t="e">
        <f t="shared" si="1"/>
        <v>#N/A</v>
      </c>
      <c r="L104" t="e" cm="1">
        <f t="array" ref="L104">IF(K104=0,"",[1]!SPELLNUMBER(K104))</f>
        <v>#N/A</v>
      </c>
    </row>
    <row r="105" spans="1:12" x14ac:dyDescent="0.25">
      <c r="A105" t="s">
        <v>247</v>
      </c>
      <c r="B105" t="s">
        <v>125</v>
      </c>
      <c r="C105">
        <f>'Paste here'!AQ105</f>
        <v>0</v>
      </c>
      <c r="D105">
        <f>'Paste here'!AR105</f>
        <v>0</v>
      </c>
      <c r="E105" t="s">
        <v>47</v>
      </c>
      <c r="F105">
        <f>'Paste here'!E105</f>
        <v>0</v>
      </c>
      <c r="G105" s="2">
        <f>'Paste here'!F105</f>
        <v>0</v>
      </c>
      <c r="H105" s="2">
        <f>'Paste here'!G105</f>
        <v>0</v>
      </c>
      <c r="I105" s="2">
        <f>'Paste here'!M105</f>
        <v>0</v>
      </c>
      <c r="J105" s="2" t="e">
        <f>IF(I105*VLOOKUP(H105,'Claim Amount'!$B$3:$J$24,8,FALSE)&lt;VLOOKUP(H105,'Claim Amount'!$B$3:$J$24,9,FALSE),VLOOKUP(H105,'Claim Amount'!$B$3:$J$24,9,FALSE),I105*VLOOKUP(H105,'Claim Amount'!$B$3:$J$24,8,FALSE))</f>
        <v>#N/A</v>
      </c>
      <c r="K105" s="2" t="e">
        <f t="shared" si="1"/>
        <v>#N/A</v>
      </c>
      <c r="L105" t="e" cm="1">
        <f t="array" ref="L105">IF(K105=0,"",[1]!SPELLNUMBER(K105))</f>
        <v>#N/A</v>
      </c>
    </row>
    <row r="106" spans="1:12" x14ac:dyDescent="0.25">
      <c r="A106" t="s">
        <v>248</v>
      </c>
      <c r="B106" t="s">
        <v>125</v>
      </c>
      <c r="C106">
        <f>'Paste here'!AQ106</f>
        <v>0</v>
      </c>
      <c r="D106">
        <f>'Paste here'!AR106</f>
        <v>0</v>
      </c>
      <c r="E106" t="s">
        <v>47</v>
      </c>
      <c r="F106">
        <f>'Paste here'!E106</f>
        <v>0</v>
      </c>
      <c r="G106" s="2">
        <f>'Paste here'!F106</f>
        <v>0</v>
      </c>
      <c r="H106" s="2">
        <f>'Paste here'!G106</f>
        <v>0</v>
      </c>
      <c r="I106" s="2">
        <f>'Paste here'!M106</f>
        <v>0</v>
      </c>
      <c r="J106" s="2" t="e">
        <f>IF(I106*VLOOKUP(H106,'Claim Amount'!$B$3:$J$24,8,FALSE)&lt;VLOOKUP(H106,'Claim Amount'!$B$3:$J$24,9,FALSE),VLOOKUP(H106,'Claim Amount'!$B$3:$J$24,9,FALSE),I106*VLOOKUP(H106,'Claim Amount'!$B$3:$J$24,8,FALSE))</f>
        <v>#N/A</v>
      </c>
      <c r="K106" s="2" t="e">
        <f t="shared" si="1"/>
        <v>#N/A</v>
      </c>
      <c r="L106" t="e" cm="1">
        <f t="array" ref="L106">IF(K106=0,"",[1]!SPELLNUMBER(K106))</f>
        <v>#N/A</v>
      </c>
    </row>
    <row r="107" spans="1:12" x14ac:dyDescent="0.25">
      <c r="A107" t="s">
        <v>249</v>
      </c>
      <c r="B107" t="s">
        <v>125</v>
      </c>
      <c r="C107">
        <f>'Paste here'!AQ107</f>
        <v>0</v>
      </c>
      <c r="D107">
        <f>'Paste here'!AR107</f>
        <v>0</v>
      </c>
      <c r="E107" t="s">
        <v>47</v>
      </c>
      <c r="F107">
        <f>'Paste here'!E107</f>
        <v>0</v>
      </c>
      <c r="G107" s="2">
        <f>'Paste here'!F107</f>
        <v>0</v>
      </c>
      <c r="H107" s="2">
        <f>'Paste here'!G107</f>
        <v>0</v>
      </c>
      <c r="I107" s="2">
        <f>'Paste here'!M107</f>
        <v>0</v>
      </c>
      <c r="J107" s="2" t="e">
        <f>IF(I107*VLOOKUP(H107,'Claim Amount'!$B$3:$J$24,8,FALSE)&lt;VLOOKUP(H107,'Claim Amount'!$B$3:$J$24,9,FALSE),VLOOKUP(H107,'Claim Amount'!$B$3:$J$24,9,FALSE),I107*VLOOKUP(H107,'Claim Amount'!$B$3:$J$24,8,FALSE))</f>
        <v>#N/A</v>
      </c>
      <c r="K107" s="2" t="e">
        <f t="shared" si="1"/>
        <v>#N/A</v>
      </c>
      <c r="L107" t="e" cm="1">
        <f t="array" ref="L107">IF(K107=0,"",[1]!SPELLNUMBER(K107))</f>
        <v>#N/A</v>
      </c>
    </row>
    <row r="108" spans="1:12" x14ac:dyDescent="0.25">
      <c r="A108" t="s">
        <v>250</v>
      </c>
      <c r="B108" t="s">
        <v>125</v>
      </c>
      <c r="C108">
        <f>'Paste here'!AQ108</f>
        <v>0</v>
      </c>
      <c r="D108">
        <f>'Paste here'!AR108</f>
        <v>0</v>
      </c>
      <c r="E108" t="s">
        <v>47</v>
      </c>
      <c r="F108">
        <f>'Paste here'!E108</f>
        <v>0</v>
      </c>
      <c r="G108" s="2">
        <f>'Paste here'!F108</f>
        <v>0</v>
      </c>
      <c r="H108" s="2">
        <f>'Paste here'!G108</f>
        <v>0</v>
      </c>
      <c r="I108" s="2">
        <f>'Paste here'!M108</f>
        <v>0</v>
      </c>
      <c r="J108" s="2" t="e">
        <f>IF(I108*VLOOKUP(H108,'Claim Amount'!$B$3:$J$24,8,FALSE)&lt;VLOOKUP(H108,'Claim Amount'!$B$3:$J$24,9,FALSE),VLOOKUP(H108,'Claim Amount'!$B$3:$J$24,9,FALSE),I108*VLOOKUP(H108,'Claim Amount'!$B$3:$J$24,8,FALSE))</f>
        <v>#N/A</v>
      </c>
      <c r="K108" s="2" t="e">
        <f t="shared" si="1"/>
        <v>#N/A</v>
      </c>
      <c r="L108" t="e" cm="1">
        <f t="array" ref="L108">IF(K108=0,"",[1]!SPELLNUMBER(K108))</f>
        <v>#N/A</v>
      </c>
    </row>
    <row r="109" spans="1:12" x14ac:dyDescent="0.25">
      <c r="A109" t="s">
        <v>251</v>
      </c>
      <c r="B109" t="s">
        <v>125</v>
      </c>
      <c r="C109">
        <f>'Paste here'!AQ109</f>
        <v>0</v>
      </c>
      <c r="D109">
        <f>'Paste here'!AR109</f>
        <v>0</v>
      </c>
      <c r="E109" t="s">
        <v>47</v>
      </c>
      <c r="F109">
        <f>'Paste here'!E109</f>
        <v>0</v>
      </c>
      <c r="G109" s="2">
        <f>'Paste here'!F109</f>
        <v>0</v>
      </c>
      <c r="H109" s="2">
        <f>'Paste here'!G109</f>
        <v>0</v>
      </c>
      <c r="I109" s="2">
        <f>'Paste here'!M109</f>
        <v>0</v>
      </c>
      <c r="J109" s="2" t="e">
        <f>IF(I109*VLOOKUP(H109,'Claim Amount'!$B$3:$J$24,8,FALSE)&lt;VLOOKUP(H109,'Claim Amount'!$B$3:$J$24,9,FALSE),VLOOKUP(H109,'Claim Amount'!$B$3:$J$24,9,FALSE),I109*VLOOKUP(H109,'Claim Amount'!$B$3:$J$24,8,FALSE))</f>
        <v>#N/A</v>
      </c>
      <c r="K109" s="2" t="e">
        <f t="shared" si="1"/>
        <v>#N/A</v>
      </c>
      <c r="L109" t="e" cm="1">
        <f t="array" ref="L109">IF(K109=0,"",[1]!SPELLNUMBER(K109))</f>
        <v>#N/A</v>
      </c>
    </row>
    <row r="110" spans="1:12" x14ac:dyDescent="0.25">
      <c r="A110" t="s">
        <v>252</v>
      </c>
      <c r="B110" t="s">
        <v>125</v>
      </c>
      <c r="C110">
        <f>'Paste here'!AQ110</f>
        <v>0</v>
      </c>
      <c r="D110">
        <f>'Paste here'!AR110</f>
        <v>0</v>
      </c>
      <c r="E110" t="s">
        <v>47</v>
      </c>
      <c r="F110">
        <f>'Paste here'!E110</f>
        <v>0</v>
      </c>
      <c r="G110" s="2">
        <f>'Paste here'!F110</f>
        <v>0</v>
      </c>
      <c r="H110" s="2">
        <f>'Paste here'!G110</f>
        <v>0</v>
      </c>
      <c r="I110" s="2">
        <f>'Paste here'!M110</f>
        <v>0</v>
      </c>
      <c r="J110" s="2" t="e">
        <f>IF(I110*VLOOKUP(H110,'Claim Amount'!$B$3:$J$24,8,FALSE)&lt;VLOOKUP(H110,'Claim Amount'!$B$3:$J$24,9,FALSE),VLOOKUP(H110,'Claim Amount'!$B$3:$J$24,9,FALSE),I110*VLOOKUP(H110,'Claim Amount'!$B$3:$J$24,8,FALSE))</f>
        <v>#N/A</v>
      </c>
      <c r="K110" s="2" t="e">
        <f t="shared" si="1"/>
        <v>#N/A</v>
      </c>
      <c r="L110" t="e" cm="1">
        <f t="array" ref="L110">IF(K110=0,"",[1]!SPELLNUMBER(K110))</f>
        <v>#N/A</v>
      </c>
    </row>
    <row r="111" spans="1:12" x14ac:dyDescent="0.25">
      <c r="A111" t="s">
        <v>253</v>
      </c>
      <c r="B111" t="s">
        <v>125</v>
      </c>
      <c r="C111">
        <f>'Paste here'!AQ111</f>
        <v>0</v>
      </c>
      <c r="D111">
        <f>'Paste here'!AR111</f>
        <v>0</v>
      </c>
      <c r="E111" t="s">
        <v>47</v>
      </c>
      <c r="F111">
        <f>'Paste here'!E111</f>
        <v>0</v>
      </c>
      <c r="G111" s="2">
        <f>'Paste here'!F111</f>
        <v>0</v>
      </c>
      <c r="H111" s="2">
        <f>'Paste here'!G111</f>
        <v>0</v>
      </c>
      <c r="I111" s="2">
        <f>'Paste here'!M111</f>
        <v>0</v>
      </c>
      <c r="J111" s="2" t="e">
        <f>IF(I111*VLOOKUP(H111,'Claim Amount'!$B$3:$J$24,8,FALSE)&lt;VLOOKUP(H111,'Claim Amount'!$B$3:$J$24,9,FALSE),VLOOKUP(H111,'Claim Amount'!$B$3:$J$24,9,FALSE),I111*VLOOKUP(H111,'Claim Amount'!$B$3:$J$24,8,FALSE))</f>
        <v>#N/A</v>
      </c>
      <c r="K111" s="2" t="e">
        <f t="shared" si="1"/>
        <v>#N/A</v>
      </c>
      <c r="L111" t="e" cm="1">
        <f t="array" ref="L111">IF(K111=0,"",[1]!SPELLNUMBER(K111))</f>
        <v>#N/A</v>
      </c>
    </row>
    <row r="112" spans="1:12" x14ac:dyDescent="0.25">
      <c r="A112" t="s">
        <v>254</v>
      </c>
      <c r="B112" t="s">
        <v>125</v>
      </c>
      <c r="C112">
        <f>'Paste here'!AQ112</f>
        <v>0</v>
      </c>
      <c r="D112">
        <f>'Paste here'!AR112</f>
        <v>0</v>
      </c>
      <c r="E112" t="s">
        <v>47</v>
      </c>
      <c r="F112">
        <f>'Paste here'!E112</f>
        <v>0</v>
      </c>
      <c r="G112" s="2">
        <f>'Paste here'!F112</f>
        <v>0</v>
      </c>
      <c r="H112" s="2">
        <f>'Paste here'!G112</f>
        <v>0</v>
      </c>
      <c r="I112" s="2">
        <f>'Paste here'!M112</f>
        <v>0</v>
      </c>
      <c r="J112" s="2" t="e">
        <f>IF(I112*VLOOKUP(H112,'Claim Amount'!$B$3:$J$24,8,FALSE)&lt;VLOOKUP(H112,'Claim Amount'!$B$3:$J$24,9,FALSE),VLOOKUP(H112,'Claim Amount'!$B$3:$J$24,9,FALSE),I112*VLOOKUP(H112,'Claim Amount'!$B$3:$J$24,8,FALSE))</f>
        <v>#N/A</v>
      </c>
      <c r="K112" s="2" t="e">
        <f t="shared" si="1"/>
        <v>#N/A</v>
      </c>
      <c r="L112" t="e" cm="1">
        <f t="array" ref="L112">IF(K112=0,"",[1]!SPELLNUMBER(K112))</f>
        <v>#N/A</v>
      </c>
    </row>
    <row r="113" spans="1:12" x14ac:dyDescent="0.25">
      <c r="A113" t="s">
        <v>255</v>
      </c>
      <c r="B113" t="s">
        <v>125</v>
      </c>
      <c r="C113">
        <f>'Paste here'!AQ113</f>
        <v>0</v>
      </c>
      <c r="D113">
        <f>'Paste here'!AR113</f>
        <v>0</v>
      </c>
      <c r="E113" t="s">
        <v>47</v>
      </c>
      <c r="F113">
        <f>'Paste here'!E113</f>
        <v>0</v>
      </c>
      <c r="G113" s="2">
        <f>'Paste here'!F113</f>
        <v>0</v>
      </c>
      <c r="H113" s="2">
        <f>'Paste here'!G113</f>
        <v>0</v>
      </c>
      <c r="I113" s="2">
        <f>'Paste here'!M113</f>
        <v>0</v>
      </c>
      <c r="J113" s="2" t="e">
        <f>IF(I113*VLOOKUP(H113,'Claim Amount'!$B$3:$J$24,8,FALSE)&lt;VLOOKUP(H113,'Claim Amount'!$B$3:$J$24,9,FALSE),VLOOKUP(H113,'Claim Amount'!$B$3:$J$24,9,FALSE),I113*VLOOKUP(H113,'Claim Amount'!$B$3:$J$24,8,FALSE))</f>
        <v>#N/A</v>
      </c>
      <c r="K113" s="2" t="e">
        <f t="shared" si="1"/>
        <v>#N/A</v>
      </c>
      <c r="L113" t="e" cm="1">
        <f t="array" ref="L113">IF(K113=0,"",[1]!SPELLNUMBER(K113))</f>
        <v>#N/A</v>
      </c>
    </row>
  </sheetData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113"/>
  <sheetViews>
    <sheetView view="pageBreakPreview" topLeftCell="A4" zoomScale="145" zoomScaleSheetLayoutView="145" workbookViewId="0">
      <selection activeCell="G9" sqref="G9"/>
    </sheetView>
  </sheetViews>
  <sheetFormatPr defaultRowHeight="15" x14ac:dyDescent="0.25"/>
  <cols>
    <col min="1" max="1" width="5.7109375" style="92" customWidth="1"/>
    <col min="2" max="2" width="81.85546875" style="92" customWidth="1"/>
    <col min="3" max="3" width="11.85546875" style="92" customWidth="1"/>
    <col min="4" max="16384" width="9.140625" style="92"/>
  </cols>
  <sheetData>
    <row r="1" spans="1:3" s="91" customFormat="1" ht="20.25" customHeight="1" x14ac:dyDescent="0.25">
      <c r="A1" s="90" t="s">
        <v>44</v>
      </c>
      <c r="B1" s="45" t="s">
        <v>45</v>
      </c>
      <c r="C1" s="45" t="s">
        <v>46</v>
      </c>
    </row>
    <row r="2" spans="1:3" s="91" customFormat="1" ht="21.75" customHeight="1" x14ac:dyDescent="0.25">
      <c r="A2" s="9">
        <v>1</v>
      </c>
      <c r="B2" s="42" t="s">
        <v>129</v>
      </c>
      <c r="C2" s="11">
        <v>106</v>
      </c>
    </row>
    <row r="3" spans="1:3" s="91" customFormat="1" ht="21.75" customHeight="1" x14ac:dyDescent="0.25">
      <c r="A3" s="10">
        <v>2</v>
      </c>
      <c r="B3" s="42" t="s">
        <v>130</v>
      </c>
      <c r="C3" s="11">
        <v>93</v>
      </c>
    </row>
    <row r="4" spans="1:3" s="91" customFormat="1" ht="21.75" customHeight="1" x14ac:dyDescent="0.25">
      <c r="A4" s="9">
        <v>3</v>
      </c>
      <c r="B4" s="42" t="s">
        <v>398</v>
      </c>
      <c r="C4" s="11">
        <v>155</v>
      </c>
    </row>
    <row r="5" spans="1:3" s="91" customFormat="1" ht="21.75" customHeight="1" x14ac:dyDescent="0.25">
      <c r="A5" s="9">
        <v>4</v>
      </c>
      <c r="B5" s="42" t="s">
        <v>131</v>
      </c>
      <c r="C5" s="11">
        <v>65</v>
      </c>
    </row>
    <row r="6" spans="1:3" s="91" customFormat="1" ht="21.75" customHeight="1" x14ac:dyDescent="0.25">
      <c r="A6" s="10">
        <v>5</v>
      </c>
      <c r="B6" s="42" t="s">
        <v>200</v>
      </c>
      <c r="C6" s="11">
        <v>141</v>
      </c>
    </row>
    <row r="7" spans="1:3" s="91" customFormat="1" ht="21.75" customHeight="1" x14ac:dyDescent="0.25">
      <c r="A7" s="9">
        <v>6</v>
      </c>
      <c r="B7" s="42" t="s">
        <v>132</v>
      </c>
      <c r="C7" s="12">
        <v>149</v>
      </c>
    </row>
    <row r="8" spans="1:3" s="91" customFormat="1" ht="21.75" customHeight="1" x14ac:dyDescent="0.25">
      <c r="A8" s="9">
        <v>7</v>
      </c>
      <c r="B8" s="42" t="s">
        <v>133</v>
      </c>
      <c r="C8" s="12">
        <v>115</v>
      </c>
    </row>
    <row r="9" spans="1:3" s="91" customFormat="1" ht="21.75" customHeight="1" x14ac:dyDescent="0.25">
      <c r="A9" s="10">
        <v>8</v>
      </c>
      <c r="B9" s="42" t="s">
        <v>134</v>
      </c>
      <c r="C9" s="12">
        <v>198</v>
      </c>
    </row>
    <row r="10" spans="1:3" s="91" customFormat="1" ht="21.75" customHeight="1" x14ac:dyDescent="0.25">
      <c r="A10" s="9">
        <v>9</v>
      </c>
      <c r="B10" s="42" t="s">
        <v>134</v>
      </c>
      <c r="C10" s="12">
        <v>198</v>
      </c>
    </row>
    <row r="11" spans="1:3" s="91" customFormat="1" ht="21.75" customHeight="1" x14ac:dyDescent="0.25">
      <c r="A11" s="9">
        <v>10</v>
      </c>
      <c r="B11" s="42" t="s">
        <v>135</v>
      </c>
      <c r="C11" s="11">
        <v>151</v>
      </c>
    </row>
    <row r="12" spans="1:3" s="91" customFormat="1" ht="21.75" customHeight="1" x14ac:dyDescent="0.25">
      <c r="A12" s="10">
        <v>11</v>
      </c>
      <c r="B12" s="42" t="s">
        <v>136</v>
      </c>
      <c r="C12" s="11">
        <v>30</v>
      </c>
    </row>
    <row r="13" spans="1:3" s="91" customFormat="1" ht="21.75" customHeight="1" x14ac:dyDescent="0.25">
      <c r="A13" s="9">
        <v>12</v>
      </c>
      <c r="B13" s="42" t="s">
        <v>137</v>
      </c>
      <c r="C13" s="12">
        <v>220</v>
      </c>
    </row>
    <row r="14" spans="1:3" s="91" customFormat="1" ht="21.75" customHeight="1" x14ac:dyDescent="0.25">
      <c r="A14" s="9">
        <v>13</v>
      </c>
      <c r="B14" s="42" t="s">
        <v>138</v>
      </c>
      <c r="C14" s="12">
        <v>46</v>
      </c>
    </row>
    <row r="15" spans="1:3" s="91" customFormat="1" ht="21.75" customHeight="1" x14ac:dyDescent="0.25">
      <c r="A15" s="10">
        <v>14</v>
      </c>
      <c r="B15" s="42" t="s">
        <v>399</v>
      </c>
      <c r="C15" s="11">
        <v>0</v>
      </c>
    </row>
    <row r="16" spans="1:3" s="91" customFormat="1" ht="21.75" customHeight="1" x14ac:dyDescent="0.25">
      <c r="A16" s="9">
        <v>15</v>
      </c>
      <c r="B16" s="42" t="s">
        <v>400</v>
      </c>
      <c r="C16" s="11">
        <v>216</v>
      </c>
    </row>
    <row r="17" spans="1:3" s="91" customFormat="1" ht="21.75" customHeight="1" x14ac:dyDescent="0.25">
      <c r="A17" s="9">
        <v>16</v>
      </c>
      <c r="B17" s="43" t="s">
        <v>401</v>
      </c>
      <c r="C17" s="44">
        <v>67</v>
      </c>
    </row>
    <row r="18" spans="1:3" s="91" customFormat="1" ht="21.75" customHeight="1" x14ac:dyDescent="0.25">
      <c r="A18" s="10">
        <v>17</v>
      </c>
      <c r="B18" s="42" t="s">
        <v>201</v>
      </c>
      <c r="C18" s="11">
        <v>167</v>
      </c>
    </row>
    <row r="19" spans="1:3" s="91" customFormat="1" ht="21.75" customHeight="1" x14ac:dyDescent="0.25">
      <c r="A19" s="9">
        <v>18</v>
      </c>
      <c r="B19" s="42" t="s">
        <v>139</v>
      </c>
      <c r="C19" s="12">
        <v>143</v>
      </c>
    </row>
    <row r="20" spans="1:3" s="91" customFormat="1" ht="21.75" customHeight="1" x14ac:dyDescent="0.25">
      <c r="A20" s="9">
        <v>19</v>
      </c>
      <c r="B20" s="42" t="s">
        <v>375</v>
      </c>
      <c r="C20" s="12">
        <v>110</v>
      </c>
    </row>
    <row r="21" spans="1:3" s="91" customFormat="1" ht="21.75" customHeight="1" x14ac:dyDescent="0.25">
      <c r="A21" s="10">
        <v>20</v>
      </c>
      <c r="B21" s="42" t="s">
        <v>140</v>
      </c>
      <c r="C21" s="11">
        <v>110</v>
      </c>
    </row>
    <row r="22" spans="1:3" s="91" customFormat="1" ht="21.75" customHeight="1" x14ac:dyDescent="0.25">
      <c r="A22" s="9">
        <v>21</v>
      </c>
      <c r="B22" s="42" t="s">
        <v>383</v>
      </c>
      <c r="C22" s="11">
        <v>279</v>
      </c>
    </row>
    <row r="23" spans="1:3" s="91" customFormat="1" ht="21.75" customHeight="1" x14ac:dyDescent="0.25">
      <c r="A23" s="10">
        <v>22</v>
      </c>
      <c r="B23" s="42" t="s">
        <v>418</v>
      </c>
      <c r="C23" s="11">
        <v>148</v>
      </c>
    </row>
    <row r="24" spans="1:3" s="91" customFormat="1" ht="21.75" customHeight="1" x14ac:dyDescent="0.25">
      <c r="A24" s="9">
        <v>23</v>
      </c>
      <c r="B24" s="42" t="s">
        <v>141</v>
      </c>
      <c r="C24" s="11">
        <v>0</v>
      </c>
    </row>
    <row r="25" spans="1:3" s="91" customFormat="1" ht="21.75" customHeight="1" x14ac:dyDescent="0.25">
      <c r="A25" s="10">
        <v>24</v>
      </c>
      <c r="B25" s="42" t="s">
        <v>378</v>
      </c>
      <c r="C25" s="11">
        <v>210</v>
      </c>
    </row>
    <row r="26" spans="1:3" s="91" customFormat="1" ht="21.75" customHeight="1" x14ac:dyDescent="0.25">
      <c r="A26" s="9">
        <v>25</v>
      </c>
      <c r="B26" s="42" t="s">
        <v>142</v>
      </c>
      <c r="C26" s="11">
        <v>157</v>
      </c>
    </row>
    <row r="27" spans="1:3" s="91" customFormat="1" ht="21.75" customHeight="1" x14ac:dyDescent="0.25">
      <c r="A27" s="10">
        <v>26</v>
      </c>
      <c r="B27" s="43" t="s">
        <v>402</v>
      </c>
      <c r="C27" s="44">
        <v>49</v>
      </c>
    </row>
    <row r="28" spans="1:3" s="91" customFormat="1" ht="21.75" customHeight="1" x14ac:dyDescent="0.25">
      <c r="A28" s="9">
        <v>27</v>
      </c>
      <c r="B28" s="42" t="s">
        <v>143</v>
      </c>
      <c r="C28" s="11">
        <v>225</v>
      </c>
    </row>
    <row r="29" spans="1:3" s="91" customFormat="1" ht="21.75" customHeight="1" x14ac:dyDescent="0.25">
      <c r="A29" s="10">
        <v>28</v>
      </c>
      <c r="B29" s="42" t="s">
        <v>202</v>
      </c>
      <c r="C29" s="11">
        <v>35</v>
      </c>
    </row>
    <row r="30" spans="1:3" s="91" customFormat="1" ht="21.75" customHeight="1" x14ac:dyDescent="0.25">
      <c r="A30" s="9">
        <v>29</v>
      </c>
      <c r="B30" s="42" t="s">
        <v>403</v>
      </c>
      <c r="C30" s="11">
        <v>160</v>
      </c>
    </row>
    <row r="31" spans="1:3" s="91" customFormat="1" ht="21.75" customHeight="1" x14ac:dyDescent="0.25">
      <c r="A31" s="10">
        <v>30</v>
      </c>
      <c r="B31" s="42" t="s">
        <v>144</v>
      </c>
      <c r="C31" s="11">
        <v>40</v>
      </c>
    </row>
    <row r="32" spans="1:3" s="91" customFormat="1" ht="21.75" customHeight="1" x14ac:dyDescent="0.25">
      <c r="A32" s="9">
        <v>31</v>
      </c>
      <c r="B32" s="42" t="s">
        <v>404</v>
      </c>
      <c r="C32" s="11">
        <v>30</v>
      </c>
    </row>
    <row r="33" spans="1:3" s="91" customFormat="1" ht="21.75" customHeight="1" x14ac:dyDescent="0.25">
      <c r="A33" s="10">
        <v>32</v>
      </c>
      <c r="B33" s="42" t="s">
        <v>405</v>
      </c>
      <c r="C33" s="11">
        <v>298</v>
      </c>
    </row>
    <row r="34" spans="1:3" s="91" customFormat="1" ht="21.75" customHeight="1" x14ac:dyDescent="0.25">
      <c r="A34" s="9">
        <v>33</v>
      </c>
      <c r="B34" s="42" t="s">
        <v>381</v>
      </c>
      <c r="C34" s="11">
        <v>298</v>
      </c>
    </row>
    <row r="35" spans="1:3" s="91" customFormat="1" ht="21.75" customHeight="1" x14ac:dyDescent="0.25">
      <c r="A35" s="10">
        <v>34</v>
      </c>
      <c r="B35" s="42" t="s">
        <v>145</v>
      </c>
      <c r="C35" s="11">
        <v>0</v>
      </c>
    </row>
    <row r="36" spans="1:3" s="91" customFormat="1" ht="21.75" customHeight="1" x14ac:dyDescent="0.25">
      <c r="A36" s="9">
        <v>35</v>
      </c>
      <c r="B36" s="42" t="s">
        <v>146</v>
      </c>
      <c r="C36" s="11">
        <v>39</v>
      </c>
    </row>
    <row r="37" spans="1:3" s="91" customFormat="1" ht="21.75" customHeight="1" x14ac:dyDescent="0.25">
      <c r="A37" s="10">
        <v>36</v>
      </c>
      <c r="B37" s="42" t="s">
        <v>147</v>
      </c>
      <c r="C37" s="11">
        <v>0</v>
      </c>
    </row>
    <row r="38" spans="1:3" s="91" customFormat="1" ht="21.75" customHeight="1" x14ac:dyDescent="0.25">
      <c r="A38" s="9">
        <v>37</v>
      </c>
      <c r="B38" s="42" t="s">
        <v>148</v>
      </c>
      <c r="C38" s="11">
        <v>0</v>
      </c>
    </row>
    <row r="39" spans="1:3" s="91" customFormat="1" ht="21.75" customHeight="1" x14ac:dyDescent="0.25">
      <c r="A39" s="10">
        <v>38</v>
      </c>
      <c r="B39" s="43" t="s">
        <v>149</v>
      </c>
      <c r="C39" s="44">
        <v>156</v>
      </c>
    </row>
    <row r="40" spans="1:3" s="91" customFormat="1" ht="21.75" customHeight="1" x14ac:dyDescent="0.25">
      <c r="A40" s="9">
        <v>39</v>
      </c>
      <c r="B40" s="42" t="s">
        <v>150</v>
      </c>
      <c r="C40" s="12">
        <v>128</v>
      </c>
    </row>
    <row r="41" spans="1:3" s="91" customFormat="1" ht="21.75" customHeight="1" x14ac:dyDescent="0.25">
      <c r="A41" s="10">
        <v>40</v>
      </c>
      <c r="B41" s="42" t="s">
        <v>151</v>
      </c>
      <c r="C41" s="11">
        <v>129</v>
      </c>
    </row>
    <row r="42" spans="1:3" s="91" customFormat="1" ht="21.75" customHeight="1" x14ac:dyDescent="0.25">
      <c r="A42" s="9">
        <v>41</v>
      </c>
      <c r="B42" s="42" t="s">
        <v>384</v>
      </c>
      <c r="C42" s="11">
        <v>223</v>
      </c>
    </row>
    <row r="43" spans="1:3" s="91" customFormat="1" ht="21.75" customHeight="1" x14ac:dyDescent="0.25">
      <c r="A43" s="10">
        <v>42</v>
      </c>
      <c r="B43" s="42" t="s">
        <v>152</v>
      </c>
      <c r="C43" s="11">
        <v>192</v>
      </c>
    </row>
    <row r="44" spans="1:3" s="91" customFormat="1" ht="21.75" customHeight="1" x14ac:dyDescent="0.25">
      <c r="A44" s="9">
        <v>43</v>
      </c>
      <c r="B44" s="42" t="s">
        <v>406</v>
      </c>
      <c r="C44" s="11">
        <v>156</v>
      </c>
    </row>
    <row r="45" spans="1:3" s="91" customFormat="1" ht="21.75" customHeight="1" x14ac:dyDescent="0.25">
      <c r="A45" s="10">
        <v>44</v>
      </c>
      <c r="B45" s="42" t="s">
        <v>382</v>
      </c>
      <c r="C45" s="11">
        <v>218</v>
      </c>
    </row>
    <row r="46" spans="1:3" s="91" customFormat="1" ht="21.75" customHeight="1" x14ac:dyDescent="0.25">
      <c r="A46" s="9">
        <v>45</v>
      </c>
      <c r="B46" s="42" t="s">
        <v>416</v>
      </c>
      <c r="C46" s="11">
        <v>67</v>
      </c>
    </row>
    <row r="47" spans="1:3" s="91" customFormat="1" ht="21.75" customHeight="1" x14ac:dyDescent="0.25">
      <c r="A47" s="10">
        <v>46</v>
      </c>
      <c r="B47" s="42" t="s">
        <v>385</v>
      </c>
      <c r="C47" s="11">
        <v>205</v>
      </c>
    </row>
    <row r="48" spans="1:3" s="91" customFormat="1" ht="21.75" customHeight="1" x14ac:dyDescent="0.25">
      <c r="A48" s="9">
        <v>47</v>
      </c>
      <c r="B48" s="42" t="s">
        <v>153</v>
      </c>
      <c r="C48" s="11">
        <v>133</v>
      </c>
    </row>
    <row r="49" spans="1:3" s="91" customFormat="1" ht="21.75" customHeight="1" x14ac:dyDescent="0.25">
      <c r="A49" s="10">
        <v>48</v>
      </c>
      <c r="B49" s="42" t="s">
        <v>154</v>
      </c>
      <c r="C49" s="11">
        <v>159</v>
      </c>
    </row>
    <row r="50" spans="1:3" s="91" customFormat="1" ht="21.75" customHeight="1" x14ac:dyDescent="0.25">
      <c r="A50" s="9">
        <v>49</v>
      </c>
      <c r="B50" s="42" t="s">
        <v>155</v>
      </c>
      <c r="C50" s="11">
        <v>58</v>
      </c>
    </row>
    <row r="51" spans="1:3" s="91" customFormat="1" ht="21.75" customHeight="1" x14ac:dyDescent="0.25">
      <c r="A51" s="10">
        <v>50</v>
      </c>
      <c r="B51" s="42" t="s">
        <v>156</v>
      </c>
      <c r="C51" s="11">
        <v>216</v>
      </c>
    </row>
    <row r="52" spans="1:3" s="91" customFormat="1" ht="21.75" customHeight="1" x14ac:dyDescent="0.25">
      <c r="A52" s="9">
        <v>51</v>
      </c>
      <c r="B52" s="42" t="s">
        <v>157</v>
      </c>
      <c r="C52" s="11">
        <v>131</v>
      </c>
    </row>
    <row r="53" spans="1:3" s="91" customFormat="1" ht="21.75" customHeight="1" x14ac:dyDescent="0.25">
      <c r="A53" s="10">
        <v>52</v>
      </c>
      <c r="B53" s="42" t="s">
        <v>386</v>
      </c>
      <c r="C53" s="11">
        <v>224</v>
      </c>
    </row>
    <row r="54" spans="1:3" s="91" customFormat="1" ht="21.75" customHeight="1" x14ac:dyDescent="0.25">
      <c r="A54" s="9">
        <v>53</v>
      </c>
      <c r="B54" s="42" t="s">
        <v>158</v>
      </c>
      <c r="C54" s="12">
        <v>65</v>
      </c>
    </row>
    <row r="55" spans="1:3" s="91" customFormat="1" ht="21.75" customHeight="1" x14ac:dyDescent="0.25">
      <c r="A55" s="10">
        <v>54</v>
      </c>
      <c r="B55" s="42" t="s">
        <v>159</v>
      </c>
      <c r="C55" s="12">
        <v>110</v>
      </c>
    </row>
    <row r="56" spans="1:3" s="91" customFormat="1" ht="21.75" customHeight="1" x14ac:dyDescent="0.25">
      <c r="A56" s="9">
        <v>55</v>
      </c>
      <c r="B56" s="42" t="s">
        <v>407</v>
      </c>
      <c r="C56" s="12">
        <v>110</v>
      </c>
    </row>
    <row r="57" spans="1:3" s="91" customFormat="1" ht="21.75" customHeight="1" x14ac:dyDescent="0.25">
      <c r="A57" s="10">
        <v>56</v>
      </c>
      <c r="B57" s="42" t="s">
        <v>160</v>
      </c>
      <c r="C57" s="12">
        <v>134</v>
      </c>
    </row>
    <row r="58" spans="1:3" s="91" customFormat="1" ht="21.75" customHeight="1" x14ac:dyDescent="0.25">
      <c r="A58" s="9">
        <v>57</v>
      </c>
      <c r="B58" s="42" t="s">
        <v>161</v>
      </c>
      <c r="C58" s="11">
        <v>134</v>
      </c>
    </row>
    <row r="59" spans="1:3" s="91" customFormat="1" ht="21.75" customHeight="1" x14ac:dyDescent="0.25">
      <c r="A59" s="10">
        <v>58</v>
      </c>
      <c r="B59" s="42" t="s">
        <v>162</v>
      </c>
      <c r="C59" s="11">
        <v>0</v>
      </c>
    </row>
    <row r="60" spans="1:3" s="91" customFormat="1" ht="21.75" customHeight="1" x14ac:dyDescent="0.25">
      <c r="A60" s="9">
        <v>59</v>
      </c>
      <c r="B60" s="42" t="s">
        <v>163</v>
      </c>
      <c r="C60" s="11">
        <v>0</v>
      </c>
    </row>
    <row r="61" spans="1:3" s="91" customFormat="1" ht="21.75" customHeight="1" x14ac:dyDescent="0.25">
      <c r="A61" s="10">
        <v>60</v>
      </c>
      <c r="B61" s="42" t="s">
        <v>164</v>
      </c>
      <c r="C61" s="12">
        <v>0</v>
      </c>
    </row>
    <row r="62" spans="1:3" s="91" customFormat="1" ht="21.75" customHeight="1" x14ac:dyDescent="0.25">
      <c r="A62" s="9">
        <v>61</v>
      </c>
      <c r="B62" s="42" t="s">
        <v>165</v>
      </c>
      <c r="C62" s="12">
        <v>0</v>
      </c>
    </row>
    <row r="63" spans="1:3" s="91" customFormat="1" ht="21.75" customHeight="1" x14ac:dyDescent="0.25">
      <c r="A63" s="10">
        <v>62</v>
      </c>
      <c r="B63" s="42" t="s">
        <v>387</v>
      </c>
      <c r="C63" s="11">
        <v>150</v>
      </c>
    </row>
    <row r="64" spans="1:3" s="91" customFormat="1" ht="21.75" customHeight="1" x14ac:dyDescent="0.25">
      <c r="A64" s="9">
        <v>63</v>
      </c>
      <c r="B64" s="42" t="s">
        <v>166</v>
      </c>
      <c r="C64" s="11">
        <v>217</v>
      </c>
    </row>
    <row r="65" spans="1:3" s="91" customFormat="1" ht="21.75" customHeight="1" x14ac:dyDescent="0.25">
      <c r="A65" s="10">
        <v>64</v>
      </c>
      <c r="B65" s="42" t="s">
        <v>167</v>
      </c>
      <c r="C65" s="12">
        <v>0</v>
      </c>
    </row>
    <row r="66" spans="1:3" s="91" customFormat="1" ht="21.75" customHeight="1" x14ac:dyDescent="0.25">
      <c r="A66" s="9">
        <v>65</v>
      </c>
      <c r="B66" s="42" t="s">
        <v>168</v>
      </c>
      <c r="C66" s="11">
        <v>42</v>
      </c>
    </row>
    <row r="67" spans="1:3" s="91" customFormat="1" ht="21.75" customHeight="1" x14ac:dyDescent="0.25">
      <c r="A67" s="10">
        <v>66</v>
      </c>
      <c r="B67" s="42" t="s">
        <v>169</v>
      </c>
      <c r="C67" s="11">
        <v>110</v>
      </c>
    </row>
    <row r="68" spans="1:3" s="91" customFormat="1" ht="21.75" customHeight="1" x14ac:dyDescent="0.25">
      <c r="A68" s="9">
        <v>67</v>
      </c>
      <c r="B68" s="42" t="s">
        <v>170</v>
      </c>
      <c r="C68" s="11">
        <v>158</v>
      </c>
    </row>
    <row r="69" spans="1:3" s="91" customFormat="1" ht="21.75" customHeight="1" x14ac:dyDescent="0.25">
      <c r="A69" s="10">
        <v>68</v>
      </c>
      <c r="B69" s="42" t="s">
        <v>408</v>
      </c>
      <c r="C69" s="11">
        <v>62</v>
      </c>
    </row>
    <row r="70" spans="1:3" s="91" customFormat="1" ht="21.75" customHeight="1" x14ac:dyDescent="0.25">
      <c r="A70" s="9">
        <v>69</v>
      </c>
      <c r="B70" s="42" t="s">
        <v>409</v>
      </c>
      <c r="C70" s="12">
        <v>0</v>
      </c>
    </row>
    <row r="71" spans="1:3" s="91" customFormat="1" ht="21.75" customHeight="1" x14ac:dyDescent="0.25">
      <c r="A71" s="10">
        <v>70</v>
      </c>
      <c r="B71" s="42" t="s">
        <v>410</v>
      </c>
      <c r="C71" s="12">
        <v>134</v>
      </c>
    </row>
    <row r="72" spans="1:3" s="91" customFormat="1" ht="21.75" customHeight="1" x14ac:dyDescent="0.25">
      <c r="A72" s="9">
        <v>71</v>
      </c>
      <c r="B72" s="42" t="s">
        <v>171</v>
      </c>
      <c r="C72" s="11">
        <v>0</v>
      </c>
    </row>
    <row r="73" spans="1:3" s="91" customFormat="1" ht="21.75" customHeight="1" x14ac:dyDescent="0.25">
      <c r="A73" s="10">
        <v>72</v>
      </c>
      <c r="B73" s="42" t="s">
        <v>172</v>
      </c>
      <c r="C73" s="11">
        <v>0</v>
      </c>
    </row>
    <row r="74" spans="1:3" s="91" customFormat="1" ht="21.75" customHeight="1" x14ac:dyDescent="0.25">
      <c r="A74" s="9">
        <v>73</v>
      </c>
      <c r="B74" s="42" t="s">
        <v>173</v>
      </c>
      <c r="C74" s="12">
        <v>107</v>
      </c>
    </row>
    <row r="75" spans="1:3" s="91" customFormat="1" ht="21.75" customHeight="1" x14ac:dyDescent="0.25">
      <c r="A75" s="10">
        <v>74</v>
      </c>
      <c r="B75" s="42" t="s">
        <v>174</v>
      </c>
      <c r="C75" s="11">
        <v>64</v>
      </c>
    </row>
    <row r="76" spans="1:3" s="91" customFormat="1" ht="21.75" customHeight="1" x14ac:dyDescent="0.25">
      <c r="A76" s="9">
        <v>75</v>
      </c>
      <c r="B76" s="42" t="s">
        <v>175</v>
      </c>
      <c r="C76" s="11">
        <v>0</v>
      </c>
    </row>
    <row r="77" spans="1:3" s="91" customFormat="1" ht="21.75" customHeight="1" x14ac:dyDescent="0.25">
      <c r="A77" s="10">
        <v>76</v>
      </c>
      <c r="B77" s="42" t="s">
        <v>176</v>
      </c>
      <c r="C77" s="11">
        <v>55</v>
      </c>
    </row>
    <row r="78" spans="1:3" s="91" customFormat="1" ht="21.75" customHeight="1" x14ac:dyDescent="0.25">
      <c r="A78" s="9">
        <v>77</v>
      </c>
      <c r="B78" s="42" t="s">
        <v>177</v>
      </c>
      <c r="C78" s="11">
        <v>0</v>
      </c>
    </row>
    <row r="79" spans="1:3" s="91" customFormat="1" ht="21.75" customHeight="1" x14ac:dyDescent="0.25">
      <c r="A79" s="10">
        <v>78</v>
      </c>
      <c r="B79" s="42" t="s">
        <v>178</v>
      </c>
      <c r="C79" s="11">
        <v>218</v>
      </c>
    </row>
    <row r="80" spans="1:3" s="91" customFormat="1" ht="21.75" customHeight="1" x14ac:dyDescent="0.25">
      <c r="A80" s="9">
        <v>79</v>
      </c>
      <c r="B80" s="42" t="s">
        <v>179</v>
      </c>
      <c r="C80" s="12">
        <v>126</v>
      </c>
    </row>
    <row r="81" spans="1:3" s="91" customFormat="1" ht="21.75" customHeight="1" x14ac:dyDescent="0.25">
      <c r="A81" s="10">
        <v>80</v>
      </c>
      <c r="B81" s="42" t="s">
        <v>380</v>
      </c>
      <c r="C81" s="11">
        <v>251</v>
      </c>
    </row>
    <row r="82" spans="1:3" s="91" customFormat="1" ht="21.75" customHeight="1" x14ac:dyDescent="0.25">
      <c r="A82" s="9">
        <v>81</v>
      </c>
      <c r="B82" s="42" t="s">
        <v>180</v>
      </c>
      <c r="C82" s="12">
        <v>46</v>
      </c>
    </row>
    <row r="83" spans="1:3" s="91" customFormat="1" ht="21.75" customHeight="1" x14ac:dyDescent="0.25">
      <c r="A83" s="10">
        <v>82</v>
      </c>
      <c r="B83" s="42" t="s">
        <v>181</v>
      </c>
      <c r="C83" s="11">
        <v>118</v>
      </c>
    </row>
    <row r="84" spans="1:3" s="91" customFormat="1" ht="21.75" customHeight="1" x14ac:dyDescent="0.25">
      <c r="A84" s="9">
        <v>83</v>
      </c>
      <c r="B84" s="42" t="s">
        <v>182</v>
      </c>
      <c r="C84" s="11">
        <v>0</v>
      </c>
    </row>
    <row r="85" spans="1:3" s="91" customFormat="1" ht="21.75" customHeight="1" x14ac:dyDescent="0.25">
      <c r="A85" s="10">
        <v>84</v>
      </c>
      <c r="B85" s="42" t="s">
        <v>183</v>
      </c>
      <c r="C85" s="11">
        <v>51</v>
      </c>
    </row>
    <row r="86" spans="1:3" s="91" customFormat="1" ht="21.75" customHeight="1" x14ac:dyDescent="0.25">
      <c r="A86" s="9">
        <v>85</v>
      </c>
      <c r="B86" s="42" t="s">
        <v>411</v>
      </c>
      <c r="C86" s="12">
        <v>106</v>
      </c>
    </row>
    <row r="87" spans="1:3" s="91" customFormat="1" ht="21.75" customHeight="1" x14ac:dyDescent="0.25">
      <c r="A87" s="10">
        <v>86</v>
      </c>
      <c r="B87" s="42" t="s">
        <v>184</v>
      </c>
      <c r="C87" s="11">
        <v>92</v>
      </c>
    </row>
    <row r="88" spans="1:3" s="91" customFormat="1" ht="21.75" customHeight="1" x14ac:dyDescent="0.25">
      <c r="A88" s="9">
        <v>87</v>
      </c>
      <c r="B88" s="42" t="s">
        <v>185</v>
      </c>
      <c r="C88" s="12">
        <v>119</v>
      </c>
    </row>
    <row r="89" spans="1:3" s="91" customFormat="1" ht="21.75" customHeight="1" x14ac:dyDescent="0.25">
      <c r="A89" s="10">
        <v>88</v>
      </c>
      <c r="B89" s="42" t="s">
        <v>186</v>
      </c>
      <c r="C89" s="11">
        <v>176</v>
      </c>
    </row>
    <row r="90" spans="1:3" s="91" customFormat="1" ht="21.75" customHeight="1" x14ac:dyDescent="0.25">
      <c r="A90" s="9">
        <v>89</v>
      </c>
      <c r="B90" s="85" t="s">
        <v>187</v>
      </c>
      <c r="C90" s="89">
        <v>36</v>
      </c>
    </row>
    <row r="91" spans="1:3" s="91" customFormat="1" ht="21.75" customHeight="1" x14ac:dyDescent="0.25">
      <c r="A91" s="10">
        <v>90</v>
      </c>
      <c r="B91" s="42" t="s">
        <v>388</v>
      </c>
      <c r="C91" s="11">
        <v>221</v>
      </c>
    </row>
    <row r="92" spans="1:3" s="91" customFormat="1" ht="21.75" customHeight="1" x14ac:dyDescent="0.25">
      <c r="A92" s="9">
        <v>91</v>
      </c>
      <c r="B92" s="85" t="s">
        <v>188</v>
      </c>
      <c r="C92" s="89">
        <v>141</v>
      </c>
    </row>
    <row r="93" spans="1:3" s="91" customFormat="1" ht="21.75" customHeight="1" x14ac:dyDescent="0.25">
      <c r="A93" s="10">
        <v>92</v>
      </c>
      <c r="B93" s="85" t="s">
        <v>334</v>
      </c>
      <c r="C93" s="89">
        <v>224</v>
      </c>
    </row>
    <row r="94" spans="1:3" s="91" customFormat="1" ht="21.75" customHeight="1" x14ac:dyDescent="0.25">
      <c r="A94" s="9">
        <v>93</v>
      </c>
      <c r="B94" s="85" t="s">
        <v>189</v>
      </c>
      <c r="C94" s="89">
        <v>37</v>
      </c>
    </row>
    <row r="95" spans="1:3" s="91" customFormat="1" ht="21.75" customHeight="1" x14ac:dyDescent="0.25">
      <c r="A95" s="10">
        <v>94</v>
      </c>
      <c r="B95" s="85" t="s">
        <v>190</v>
      </c>
      <c r="C95" s="89">
        <v>232</v>
      </c>
    </row>
    <row r="96" spans="1:3" s="91" customFormat="1" ht="21.75" customHeight="1" x14ac:dyDescent="0.25">
      <c r="A96" s="9">
        <v>95</v>
      </c>
      <c r="B96" s="85" t="s">
        <v>389</v>
      </c>
      <c r="C96" s="86">
        <v>129</v>
      </c>
    </row>
    <row r="97" spans="1:3" s="91" customFormat="1" ht="21.75" customHeight="1" x14ac:dyDescent="0.25">
      <c r="A97" s="10">
        <v>96</v>
      </c>
      <c r="B97" s="85" t="s">
        <v>390</v>
      </c>
      <c r="C97" s="89">
        <v>144</v>
      </c>
    </row>
    <row r="98" spans="1:3" s="91" customFormat="1" ht="21.75" customHeight="1" x14ac:dyDescent="0.25">
      <c r="A98" s="9">
        <v>97</v>
      </c>
      <c r="B98" s="85" t="s">
        <v>191</v>
      </c>
      <c r="C98" s="89">
        <v>0</v>
      </c>
    </row>
    <row r="99" spans="1:3" s="91" customFormat="1" ht="21.75" customHeight="1" x14ac:dyDescent="0.25">
      <c r="A99" s="10">
        <v>98</v>
      </c>
      <c r="B99" s="85" t="s">
        <v>412</v>
      </c>
      <c r="C99" s="89">
        <v>123</v>
      </c>
    </row>
    <row r="100" spans="1:3" s="91" customFormat="1" ht="21.75" customHeight="1" x14ac:dyDescent="0.25">
      <c r="A100" s="9">
        <v>99</v>
      </c>
      <c r="B100" s="85" t="s">
        <v>192</v>
      </c>
      <c r="C100" s="89">
        <v>62</v>
      </c>
    </row>
    <row r="101" spans="1:3" s="91" customFormat="1" ht="21.75" customHeight="1" x14ac:dyDescent="0.25">
      <c r="A101" s="10">
        <v>100</v>
      </c>
      <c r="B101" s="85" t="s">
        <v>379</v>
      </c>
      <c r="C101" s="89">
        <v>0</v>
      </c>
    </row>
    <row r="102" spans="1:3" s="91" customFormat="1" ht="21.75" customHeight="1" x14ac:dyDescent="0.25">
      <c r="A102" s="9">
        <v>101</v>
      </c>
      <c r="B102" s="85" t="s">
        <v>391</v>
      </c>
      <c r="C102" s="89">
        <v>201</v>
      </c>
    </row>
    <row r="103" spans="1:3" s="91" customFormat="1" ht="21.75" customHeight="1" x14ac:dyDescent="0.25">
      <c r="A103" s="10">
        <v>102</v>
      </c>
      <c r="B103" s="85" t="s">
        <v>413</v>
      </c>
      <c r="C103" s="86">
        <v>251</v>
      </c>
    </row>
    <row r="104" spans="1:3" ht="18" customHeight="1" x14ac:dyDescent="0.25">
      <c r="A104" s="9">
        <v>103</v>
      </c>
      <c r="B104" s="42" t="s">
        <v>193</v>
      </c>
      <c r="C104" s="11">
        <v>160</v>
      </c>
    </row>
    <row r="105" spans="1:3" ht="18" customHeight="1" x14ac:dyDescent="0.25">
      <c r="A105" s="10">
        <v>104</v>
      </c>
      <c r="B105" s="42" t="s">
        <v>194</v>
      </c>
      <c r="C105" s="11">
        <v>0</v>
      </c>
    </row>
    <row r="106" spans="1:3" ht="18" customHeight="1" x14ac:dyDescent="0.25">
      <c r="A106" s="9">
        <v>105</v>
      </c>
      <c r="B106" s="42" t="s">
        <v>195</v>
      </c>
      <c r="C106" s="11">
        <v>107</v>
      </c>
    </row>
    <row r="107" spans="1:3" ht="18" customHeight="1" x14ac:dyDescent="0.25">
      <c r="A107" s="10">
        <v>106</v>
      </c>
      <c r="B107" s="42" t="s">
        <v>196</v>
      </c>
      <c r="C107" s="11">
        <v>0</v>
      </c>
    </row>
    <row r="108" spans="1:3" ht="18" customHeight="1" x14ac:dyDescent="0.25">
      <c r="A108" s="9">
        <v>107</v>
      </c>
      <c r="B108" s="42" t="s">
        <v>414</v>
      </c>
      <c r="C108" s="11">
        <v>152</v>
      </c>
    </row>
    <row r="109" spans="1:3" ht="18" customHeight="1" x14ac:dyDescent="0.25">
      <c r="A109" s="10">
        <v>108</v>
      </c>
      <c r="B109" s="42" t="s">
        <v>377</v>
      </c>
      <c r="C109" s="11">
        <v>150</v>
      </c>
    </row>
    <row r="110" spans="1:3" ht="18" customHeight="1" x14ac:dyDescent="0.25">
      <c r="A110" s="9">
        <v>109</v>
      </c>
      <c r="B110" s="42" t="s">
        <v>197</v>
      </c>
      <c r="C110" s="11">
        <v>148</v>
      </c>
    </row>
    <row r="111" spans="1:3" ht="18" customHeight="1" x14ac:dyDescent="0.25">
      <c r="A111" s="10">
        <v>110</v>
      </c>
      <c r="B111" s="42" t="s">
        <v>415</v>
      </c>
      <c r="C111" s="11">
        <v>261</v>
      </c>
    </row>
    <row r="112" spans="1:3" ht="18" customHeight="1" x14ac:dyDescent="0.25">
      <c r="A112" s="9">
        <v>111</v>
      </c>
      <c r="B112" s="42" t="s">
        <v>198</v>
      </c>
      <c r="C112" s="11">
        <v>116</v>
      </c>
    </row>
    <row r="113" spans="1:3" ht="18" customHeight="1" x14ac:dyDescent="0.25">
      <c r="A113" s="10">
        <v>112</v>
      </c>
      <c r="B113" s="42" t="s">
        <v>199</v>
      </c>
      <c r="C113" s="11">
        <v>117</v>
      </c>
    </row>
  </sheetData>
  <conditionalFormatting sqref="B2:B59">
    <cfRule type="duplicateValues" dxfId="2" priority="1"/>
  </conditionalFormatting>
  <printOptions horizontalCentered="1"/>
  <pageMargins left="0.11811023622047245" right="0.11811023622047245" top="0.74803149606299213" bottom="0.74803149606299213" header="0.31496062992125984" footer="0.31496062992125984"/>
  <pageSetup paperSize="9" scale="94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"/>
  <sheetViews>
    <sheetView workbookViewId="0">
      <selection activeCell="L8" sqref="L8"/>
    </sheetView>
  </sheetViews>
  <sheetFormatPr defaultRowHeight="15" x14ac:dyDescent="0.25"/>
  <cols>
    <col min="1" max="1" width="5.42578125" customWidth="1"/>
    <col min="2" max="2" width="26.140625" customWidth="1"/>
    <col min="3" max="10" width="14.85546875" customWidth="1"/>
    <col min="11" max="11" width="23.42578125" customWidth="1"/>
  </cols>
  <sheetData>
    <row r="1" spans="1:10" ht="31.15" customHeight="1" x14ac:dyDescent="0.25">
      <c r="B1" s="58" t="s">
        <v>370</v>
      </c>
      <c r="C1" s="55">
        <v>2</v>
      </c>
      <c r="D1" s="55">
        <v>3</v>
      </c>
      <c r="E1" s="55">
        <v>4</v>
      </c>
      <c r="F1" s="55">
        <v>5</v>
      </c>
      <c r="G1" s="55">
        <v>6</v>
      </c>
      <c r="H1" s="55">
        <v>7</v>
      </c>
      <c r="I1" s="55">
        <v>8</v>
      </c>
      <c r="J1" s="55">
        <v>9</v>
      </c>
    </row>
    <row r="2" spans="1:10" ht="27.6" customHeight="1" x14ac:dyDescent="0.25">
      <c r="A2" s="158" t="s">
        <v>361</v>
      </c>
      <c r="B2" s="157" t="s">
        <v>4</v>
      </c>
      <c r="C2" s="156" t="s">
        <v>112</v>
      </c>
      <c r="D2" s="156"/>
      <c r="E2" s="159" t="s">
        <v>122</v>
      </c>
      <c r="F2" s="159"/>
      <c r="G2" s="156" t="s">
        <v>368</v>
      </c>
      <c r="H2" s="156"/>
      <c r="I2" s="155" t="s">
        <v>369</v>
      </c>
      <c r="J2" s="155"/>
    </row>
    <row r="3" spans="1:10" s="51" customFormat="1" ht="48" customHeight="1" x14ac:dyDescent="0.25">
      <c r="A3" s="158"/>
      <c r="B3" s="157"/>
      <c r="C3" s="104" t="s">
        <v>366</v>
      </c>
      <c r="D3" s="104" t="s">
        <v>367</v>
      </c>
      <c r="E3" s="104" t="s">
        <v>366</v>
      </c>
      <c r="F3" s="104" t="s">
        <v>367</v>
      </c>
      <c r="G3" s="104" t="s">
        <v>366</v>
      </c>
      <c r="H3" s="104" t="s">
        <v>367</v>
      </c>
      <c r="I3" s="104" t="s">
        <v>366</v>
      </c>
      <c r="J3" s="104" t="s">
        <v>367</v>
      </c>
    </row>
    <row r="4" spans="1:10" ht="31.9" customHeight="1" x14ac:dyDescent="0.25">
      <c r="A4" s="52">
        <v>1</v>
      </c>
      <c r="B4" s="56" t="s">
        <v>354</v>
      </c>
      <c r="C4" s="53">
        <v>25</v>
      </c>
      <c r="D4" s="53">
        <v>150</v>
      </c>
      <c r="E4" s="53">
        <v>25</v>
      </c>
      <c r="F4" s="53">
        <v>150</v>
      </c>
      <c r="G4" s="53">
        <v>12</v>
      </c>
      <c r="H4" s="53">
        <v>100</v>
      </c>
      <c r="I4" s="53">
        <v>6</v>
      </c>
      <c r="J4" s="53">
        <v>50</v>
      </c>
    </row>
    <row r="5" spans="1:10" ht="31.9" customHeight="1" x14ac:dyDescent="0.25">
      <c r="A5" s="5">
        <v>2</v>
      </c>
      <c r="B5" s="57" t="s">
        <v>355</v>
      </c>
      <c r="C5" s="54">
        <v>30</v>
      </c>
      <c r="D5" s="53">
        <v>150</v>
      </c>
      <c r="E5" s="54">
        <v>30</v>
      </c>
      <c r="F5" s="53">
        <v>150</v>
      </c>
      <c r="G5" s="54">
        <v>12</v>
      </c>
      <c r="H5" s="53">
        <v>100</v>
      </c>
      <c r="I5" s="54">
        <v>6</v>
      </c>
      <c r="J5" s="53">
        <v>50</v>
      </c>
    </row>
    <row r="6" spans="1:10" ht="31.9" customHeight="1" x14ac:dyDescent="0.25">
      <c r="A6" s="5">
        <v>3</v>
      </c>
      <c r="B6" s="57" t="s">
        <v>356</v>
      </c>
      <c r="C6" s="54">
        <v>20</v>
      </c>
      <c r="D6" s="53">
        <v>100</v>
      </c>
      <c r="E6" s="54">
        <v>20</v>
      </c>
      <c r="F6" s="53">
        <v>100</v>
      </c>
      <c r="G6" s="54">
        <v>10</v>
      </c>
      <c r="H6" s="53">
        <v>100</v>
      </c>
      <c r="I6" s="60">
        <v>0</v>
      </c>
      <c r="J6" s="59">
        <v>0</v>
      </c>
    </row>
    <row r="7" spans="1:10" ht="31.9" customHeight="1" x14ac:dyDescent="0.25">
      <c r="A7" s="5">
        <v>4</v>
      </c>
      <c r="B7" s="57" t="s">
        <v>357</v>
      </c>
      <c r="C7" s="54">
        <v>20</v>
      </c>
      <c r="D7" s="53">
        <v>100</v>
      </c>
      <c r="E7" s="54">
        <v>20</v>
      </c>
      <c r="F7" s="53">
        <v>100</v>
      </c>
      <c r="G7" s="59">
        <v>0</v>
      </c>
      <c r="H7" s="59">
        <v>0</v>
      </c>
      <c r="I7" s="59">
        <v>0</v>
      </c>
      <c r="J7" s="59">
        <v>0</v>
      </c>
    </row>
    <row r="8" spans="1:10" ht="31.9" customHeight="1" x14ac:dyDescent="0.25">
      <c r="A8" s="5">
        <v>5</v>
      </c>
      <c r="B8" s="57" t="s">
        <v>358</v>
      </c>
      <c r="C8" s="54">
        <v>25</v>
      </c>
      <c r="D8" s="53">
        <v>150</v>
      </c>
      <c r="E8" s="54">
        <v>25</v>
      </c>
      <c r="F8" s="53">
        <v>150</v>
      </c>
      <c r="G8" s="59">
        <v>0</v>
      </c>
      <c r="H8" s="59">
        <v>0</v>
      </c>
      <c r="I8" s="59">
        <v>0</v>
      </c>
      <c r="J8" s="59">
        <v>0</v>
      </c>
    </row>
    <row r="9" spans="1:10" ht="31.9" customHeight="1" x14ac:dyDescent="0.25">
      <c r="A9" s="5">
        <v>6</v>
      </c>
      <c r="B9" s="57" t="s">
        <v>359</v>
      </c>
      <c r="C9" s="54">
        <v>250</v>
      </c>
      <c r="D9" s="59">
        <v>0</v>
      </c>
      <c r="E9" s="54">
        <v>75</v>
      </c>
      <c r="F9" s="59">
        <v>0</v>
      </c>
      <c r="G9" s="59">
        <v>0</v>
      </c>
      <c r="H9" s="59">
        <v>0</v>
      </c>
      <c r="I9" s="59">
        <v>0</v>
      </c>
      <c r="J9" s="59">
        <v>0</v>
      </c>
    </row>
    <row r="10" spans="1:10" ht="31.9" customHeight="1" x14ac:dyDescent="0.25">
      <c r="A10" s="5">
        <v>7</v>
      </c>
      <c r="B10" s="57" t="s">
        <v>360</v>
      </c>
      <c r="C10" s="54">
        <v>200</v>
      </c>
      <c r="D10" s="59">
        <v>0</v>
      </c>
      <c r="E10" s="54">
        <v>75</v>
      </c>
      <c r="F10" s="59">
        <v>0</v>
      </c>
      <c r="G10" s="59">
        <v>0</v>
      </c>
      <c r="H10" s="59">
        <v>0</v>
      </c>
      <c r="I10" s="59">
        <v>0</v>
      </c>
      <c r="J10" s="59">
        <v>0</v>
      </c>
    </row>
    <row r="11" spans="1:10" ht="31.9" customHeight="1" x14ac:dyDescent="0.25">
      <c r="A11" s="5">
        <v>8</v>
      </c>
      <c r="B11" s="57" t="s">
        <v>362</v>
      </c>
      <c r="C11" s="54">
        <v>300</v>
      </c>
      <c r="D11" s="59">
        <v>0</v>
      </c>
      <c r="E11" s="54">
        <v>300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</row>
    <row r="12" spans="1:10" ht="31.9" customHeight="1" x14ac:dyDescent="0.25">
      <c r="A12" s="5">
        <v>9</v>
      </c>
      <c r="B12" s="57" t="s">
        <v>363</v>
      </c>
      <c r="C12" s="54">
        <v>250</v>
      </c>
      <c r="D12" s="59">
        <v>0</v>
      </c>
      <c r="E12" s="54">
        <v>250</v>
      </c>
      <c r="F12" s="59">
        <v>0</v>
      </c>
      <c r="G12" s="59">
        <v>0</v>
      </c>
      <c r="H12" s="59">
        <v>0</v>
      </c>
      <c r="I12" s="59">
        <v>0</v>
      </c>
      <c r="J12" s="59">
        <v>0</v>
      </c>
    </row>
    <row r="13" spans="1:10" ht="31.9" customHeight="1" x14ac:dyDescent="0.25">
      <c r="A13" s="5">
        <v>10</v>
      </c>
      <c r="B13" s="57" t="s">
        <v>364</v>
      </c>
      <c r="C13" s="54">
        <v>250</v>
      </c>
      <c r="D13" s="59">
        <v>0</v>
      </c>
      <c r="E13" s="54">
        <v>250</v>
      </c>
      <c r="F13" s="59">
        <v>0</v>
      </c>
      <c r="G13" s="59">
        <v>0</v>
      </c>
      <c r="H13" s="59">
        <v>0</v>
      </c>
      <c r="I13" s="59">
        <v>0</v>
      </c>
      <c r="J13" s="59">
        <v>0</v>
      </c>
    </row>
    <row r="14" spans="1:10" ht="27" customHeight="1" x14ac:dyDescent="0.25"/>
    <row r="15" spans="1:10" ht="27" customHeight="1" x14ac:dyDescent="0.25"/>
    <row r="16" spans="1:10" ht="27" customHeight="1" x14ac:dyDescent="0.25"/>
    <row r="17" ht="27" customHeight="1" x14ac:dyDescent="0.25"/>
    <row r="18" ht="27" customHeight="1" x14ac:dyDescent="0.25"/>
    <row r="19" ht="27" customHeight="1" x14ac:dyDescent="0.25"/>
    <row r="20" ht="27" customHeight="1" x14ac:dyDescent="0.25"/>
    <row r="21" ht="27" customHeight="1" x14ac:dyDescent="0.25"/>
    <row r="22" ht="27" customHeight="1" x14ac:dyDescent="0.25"/>
    <row r="23" ht="27" customHeight="1" x14ac:dyDescent="0.25"/>
    <row r="24" ht="27" customHeight="1" x14ac:dyDescent="0.25"/>
  </sheetData>
  <mergeCells count="6">
    <mergeCell ref="I2:J2"/>
    <mergeCell ref="C2:D2"/>
    <mergeCell ref="B2:B3"/>
    <mergeCell ref="A2:A3"/>
    <mergeCell ref="E2:F2"/>
    <mergeCell ref="G2:H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B0F0"/>
  </sheetPr>
  <dimension ref="A1:R54"/>
  <sheetViews>
    <sheetView zoomScale="69" zoomScaleNormal="69" zoomScaleSheetLayoutView="70" workbookViewId="0">
      <selection activeCell="X14" sqref="X14"/>
    </sheetView>
  </sheetViews>
  <sheetFormatPr defaultColWidth="9.140625" defaultRowHeight="15.75" x14ac:dyDescent="0.2"/>
  <cols>
    <col min="1" max="1" width="6.85546875" style="29" customWidth="1"/>
    <col min="2" max="2" width="15.5703125" style="22" customWidth="1"/>
    <col min="3" max="3" width="23.42578125" style="21" customWidth="1"/>
    <col min="4" max="4" width="7" style="30" customWidth="1"/>
    <col min="5" max="5" width="31" style="21" customWidth="1"/>
    <col min="6" max="6" width="14.85546875" style="21" customWidth="1"/>
    <col min="7" max="7" width="13.85546875" style="23" customWidth="1"/>
    <col min="8" max="8" width="11.28515625" style="21" customWidth="1"/>
    <col min="9" max="9" width="10.85546875" style="21" customWidth="1"/>
    <col min="10" max="10" width="41" style="21" customWidth="1"/>
    <col min="11" max="11" width="24.42578125" style="21" customWidth="1"/>
    <col min="12" max="12" width="27.140625" style="24" customWidth="1"/>
    <col min="13" max="13" width="18.28515625" style="24" customWidth="1"/>
    <col min="14" max="16" width="10" style="21" customWidth="1"/>
    <col min="17" max="17" width="14.7109375" style="21" customWidth="1"/>
    <col min="18" max="18" width="32.85546875" style="14" customWidth="1"/>
    <col min="19" max="16384" width="9.140625" style="14"/>
  </cols>
  <sheetData>
    <row r="1" spans="1:18" s="17" customFormat="1" ht="67.5" customHeight="1" x14ac:dyDescent="0.25">
      <c r="A1" s="31" t="s">
        <v>302</v>
      </c>
      <c r="B1" s="32" t="s">
        <v>303</v>
      </c>
      <c r="C1" s="15" t="s">
        <v>304</v>
      </c>
      <c r="D1" s="160" t="s">
        <v>305</v>
      </c>
      <c r="E1" s="161"/>
      <c r="F1" s="15" t="s">
        <v>318</v>
      </c>
      <c r="G1" s="15" t="s">
        <v>306</v>
      </c>
      <c r="H1" s="15" t="s">
        <v>319</v>
      </c>
      <c r="I1" s="15" t="s">
        <v>320</v>
      </c>
      <c r="J1" s="15" t="s">
        <v>307</v>
      </c>
      <c r="K1" s="15" t="s">
        <v>308</v>
      </c>
      <c r="L1" s="16" t="s">
        <v>309</v>
      </c>
      <c r="M1" s="16" t="s">
        <v>310</v>
      </c>
      <c r="N1" s="15" t="s">
        <v>311</v>
      </c>
      <c r="O1" s="15" t="s">
        <v>117</v>
      </c>
      <c r="P1" s="15" t="s">
        <v>120</v>
      </c>
      <c r="Q1" s="15" t="s">
        <v>312</v>
      </c>
      <c r="R1" s="15" t="s">
        <v>396</v>
      </c>
    </row>
    <row r="2" spans="1:18" s="21" customFormat="1" ht="44.25" customHeight="1" x14ac:dyDescent="0.25">
      <c r="A2" s="35">
        <v>1</v>
      </c>
      <c r="B2" s="40" t="str">
        <f>'Mail merge'!H2</f>
        <v>06.06.2026</v>
      </c>
      <c r="C2" s="66" t="s">
        <v>112</v>
      </c>
      <c r="D2" s="33" t="str">
        <f>'Mail merge'!K2</f>
        <v>Mrs.</v>
      </c>
      <c r="E2" s="34" t="str">
        <f>'Mail merge'!L2</f>
        <v>RANJANI U</v>
      </c>
      <c r="F2" s="18" t="str">
        <f>'Mail merge'!N2</f>
        <v>AIDS</v>
      </c>
      <c r="G2" s="19" t="str">
        <f>'Mail merge'!E2</f>
        <v>GEA1107</v>
      </c>
      <c r="H2" s="41">
        <f>'Mail merge'!R2</f>
        <v>23</v>
      </c>
      <c r="I2" s="41">
        <f>'Mail merge'!S2</f>
        <v>22</v>
      </c>
      <c r="J2" s="19" t="str">
        <f>'Mail merge'!O2</f>
        <v>MAM SCHOOL OF ENGINEERING (8121)</v>
      </c>
      <c r="K2" s="41" t="str">
        <f>'Mail merge'!X2</f>
        <v>6658000400036837</v>
      </c>
      <c r="L2" s="19" t="str">
        <f>'Mail merge'!Y2</f>
        <v>PUNJAB NATIONAL BANK</v>
      </c>
      <c r="M2" s="19" t="str">
        <f>'Mail merge'!Z2</f>
        <v>PUNB0665800</v>
      </c>
      <c r="N2" s="20">
        <f>'Mail merge'!T2</f>
        <v>440</v>
      </c>
      <c r="O2" s="20">
        <f>'Mail merge'!U2</f>
        <v>150</v>
      </c>
      <c r="P2" s="20">
        <f>'Mail merge'!V2</f>
        <v>250</v>
      </c>
      <c r="Q2" s="20">
        <f>'Mail merge'!W2</f>
        <v>840</v>
      </c>
      <c r="R2" s="19" t="str">
        <f>'Mail merge'!AA2</f>
        <v>SIRUGANUR</v>
      </c>
    </row>
    <row r="3" spans="1:18" s="21" customFormat="1" ht="39.75" customHeight="1" x14ac:dyDescent="0.25">
      <c r="A3" s="35">
        <v>2</v>
      </c>
      <c r="B3" s="40">
        <f>'Mail merge'!H3</f>
        <v>0</v>
      </c>
      <c r="C3" s="66" t="s">
        <v>112</v>
      </c>
      <c r="D3" s="33">
        <f>'Mail merge'!K3</f>
        <v>0</v>
      </c>
      <c r="E3" s="34" t="str">
        <f>'Mail merge'!L3</f>
        <v/>
      </c>
      <c r="F3" s="18">
        <f>'Mail merge'!N3</f>
        <v>0</v>
      </c>
      <c r="G3" s="19" t="str">
        <f>'Mail merge'!E3</f>
        <v/>
      </c>
      <c r="H3" s="41">
        <f>'Mail merge'!R3</f>
        <v>0</v>
      </c>
      <c r="I3" s="41">
        <f>'Mail merge'!S3</f>
        <v>0</v>
      </c>
      <c r="J3" s="19">
        <f>'Mail merge'!O3</f>
        <v>0</v>
      </c>
      <c r="K3" s="41">
        <f>'Mail merge'!X3</f>
        <v>0</v>
      </c>
      <c r="L3" s="19" t="str">
        <f>'Mail merge'!Y3</f>
        <v/>
      </c>
      <c r="M3" s="19" t="str">
        <f>'Mail merge'!Z3</f>
        <v/>
      </c>
      <c r="N3" s="20" t="e">
        <f>'Mail merge'!T3</f>
        <v>#N/A</v>
      </c>
      <c r="O3" s="20">
        <f>'Mail merge'!U3</f>
        <v>0</v>
      </c>
      <c r="P3" s="20">
        <f>'Mail merge'!V3</f>
        <v>0</v>
      </c>
      <c r="Q3" s="20" t="e">
        <f>'Mail merge'!W3</f>
        <v>#N/A</v>
      </c>
      <c r="R3" s="19" t="str">
        <f>'Mail merge'!AA3</f>
        <v/>
      </c>
    </row>
    <row r="4" spans="1:18" s="21" customFormat="1" ht="39.75" customHeight="1" x14ac:dyDescent="0.25">
      <c r="A4" s="35">
        <v>3</v>
      </c>
      <c r="B4" s="40">
        <f>'Mail merge'!H4</f>
        <v>0</v>
      </c>
      <c r="C4" s="66" t="s">
        <v>112</v>
      </c>
      <c r="D4" s="33">
        <f>'Mail merge'!K4</f>
        <v>0</v>
      </c>
      <c r="E4" s="34" t="str">
        <f>'Mail merge'!L4</f>
        <v/>
      </c>
      <c r="F4" s="18">
        <f>'Mail merge'!N4</f>
        <v>0</v>
      </c>
      <c r="G4" s="19" t="str">
        <f>'Mail merge'!E4</f>
        <v/>
      </c>
      <c r="H4" s="41">
        <f>'Mail merge'!R4</f>
        <v>0</v>
      </c>
      <c r="I4" s="41">
        <f>'Mail merge'!S4</f>
        <v>0</v>
      </c>
      <c r="J4" s="19">
        <f>'Mail merge'!O4</f>
        <v>0</v>
      </c>
      <c r="K4" s="41">
        <f>'Mail merge'!X4</f>
        <v>0</v>
      </c>
      <c r="L4" s="19" t="str">
        <f>'Mail merge'!Y4</f>
        <v/>
      </c>
      <c r="M4" s="19" t="str">
        <f>'Mail merge'!Z4</f>
        <v/>
      </c>
      <c r="N4" s="20" t="e">
        <f>'Mail merge'!T4</f>
        <v>#N/A</v>
      </c>
      <c r="O4" s="20">
        <f>'Mail merge'!U4</f>
        <v>0</v>
      </c>
      <c r="P4" s="20">
        <f>'Mail merge'!V4</f>
        <v>0</v>
      </c>
      <c r="Q4" s="20" t="e">
        <f>'Mail merge'!W4</f>
        <v>#N/A</v>
      </c>
      <c r="R4" s="19" t="str">
        <f>'Mail merge'!AA4</f>
        <v/>
      </c>
    </row>
    <row r="5" spans="1:18" s="21" customFormat="1" ht="39.75" customHeight="1" x14ac:dyDescent="0.25">
      <c r="A5" s="35">
        <v>4</v>
      </c>
      <c r="B5" s="40">
        <f>'Mail merge'!H5</f>
        <v>0</v>
      </c>
      <c r="C5" s="66" t="s">
        <v>112</v>
      </c>
      <c r="D5" s="33">
        <f>'Mail merge'!K5</f>
        <v>0</v>
      </c>
      <c r="E5" s="34" t="str">
        <f>'Mail merge'!L5</f>
        <v/>
      </c>
      <c r="F5" s="18">
        <f>'Mail merge'!N5</f>
        <v>0</v>
      </c>
      <c r="G5" s="19" t="str">
        <f>'Mail merge'!E5</f>
        <v/>
      </c>
      <c r="H5" s="41">
        <f>'Mail merge'!R5</f>
        <v>0</v>
      </c>
      <c r="I5" s="41">
        <f>'Mail merge'!S5</f>
        <v>0</v>
      </c>
      <c r="J5" s="19">
        <f>'Mail merge'!O5</f>
        <v>0</v>
      </c>
      <c r="K5" s="41">
        <f>'Mail merge'!X5</f>
        <v>0</v>
      </c>
      <c r="L5" s="19" t="str">
        <f>'Mail merge'!Y5</f>
        <v/>
      </c>
      <c r="M5" s="19" t="str">
        <f>'Mail merge'!Z5</f>
        <v/>
      </c>
      <c r="N5" s="20" t="e">
        <f>'Mail merge'!T5</f>
        <v>#N/A</v>
      </c>
      <c r="O5" s="20">
        <f>'Mail merge'!U5</f>
        <v>0</v>
      </c>
      <c r="P5" s="20">
        <f>'Mail merge'!V5</f>
        <v>0</v>
      </c>
      <c r="Q5" s="20" t="e">
        <f>'Mail merge'!W5</f>
        <v>#N/A</v>
      </c>
      <c r="R5" s="19" t="str">
        <f>'Mail merge'!AA5</f>
        <v/>
      </c>
    </row>
    <row r="6" spans="1:18" s="21" customFormat="1" ht="39.75" customHeight="1" x14ac:dyDescent="0.25">
      <c r="A6" s="35">
        <v>5</v>
      </c>
      <c r="B6" s="40">
        <f>'Mail merge'!H6</f>
        <v>0</v>
      </c>
      <c r="C6" s="66" t="s">
        <v>112</v>
      </c>
      <c r="D6" s="33">
        <f>'Mail merge'!K6</f>
        <v>0</v>
      </c>
      <c r="E6" s="34" t="str">
        <f>'Mail merge'!L6</f>
        <v/>
      </c>
      <c r="F6" s="18">
        <f>'Mail merge'!N6</f>
        <v>0</v>
      </c>
      <c r="G6" s="19" t="str">
        <f>'Mail merge'!E6</f>
        <v/>
      </c>
      <c r="H6" s="41">
        <f>'Mail merge'!R6</f>
        <v>0</v>
      </c>
      <c r="I6" s="41">
        <f>'Mail merge'!S6</f>
        <v>0</v>
      </c>
      <c r="J6" s="19">
        <f>'Mail merge'!O6</f>
        <v>0</v>
      </c>
      <c r="K6" s="41">
        <f>'Mail merge'!X6</f>
        <v>0</v>
      </c>
      <c r="L6" s="19" t="str">
        <f>'Mail merge'!Y6</f>
        <v/>
      </c>
      <c r="M6" s="19" t="str">
        <f>'Mail merge'!Z6</f>
        <v/>
      </c>
      <c r="N6" s="20" t="e">
        <f>'Mail merge'!T6</f>
        <v>#N/A</v>
      </c>
      <c r="O6" s="20">
        <f>'Mail merge'!U6</f>
        <v>0</v>
      </c>
      <c r="P6" s="20">
        <f>'Mail merge'!V6</f>
        <v>0</v>
      </c>
      <c r="Q6" s="20" t="e">
        <f>'Mail merge'!W6</f>
        <v>#N/A</v>
      </c>
      <c r="R6" s="19" t="str">
        <f>'Mail merge'!AA6</f>
        <v/>
      </c>
    </row>
    <row r="7" spans="1:18" s="21" customFormat="1" ht="44.25" customHeight="1" x14ac:dyDescent="0.25">
      <c r="A7" s="35">
        <v>6</v>
      </c>
      <c r="B7" s="40">
        <f>'Mail merge'!H7</f>
        <v>0</v>
      </c>
      <c r="C7" s="66" t="s">
        <v>112</v>
      </c>
      <c r="D7" s="33">
        <f>'Mail merge'!K7</f>
        <v>0</v>
      </c>
      <c r="E7" s="34" t="str">
        <f>'Mail merge'!L7</f>
        <v/>
      </c>
      <c r="F7" s="18">
        <f>'Mail merge'!N7</f>
        <v>0</v>
      </c>
      <c r="G7" s="19" t="str">
        <f>'Mail merge'!E7</f>
        <v/>
      </c>
      <c r="H7" s="41">
        <f>'Mail merge'!R7</f>
        <v>0</v>
      </c>
      <c r="I7" s="41">
        <f>'Mail merge'!S7</f>
        <v>0</v>
      </c>
      <c r="J7" s="19">
        <f>'Mail merge'!O7</f>
        <v>0</v>
      </c>
      <c r="K7" s="41">
        <f>'Mail merge'!X7</f>
        <v>0</v>
      </c>
      <c r="L7" s="19" t="str">
        <f>'Mail merge'!Y7</f>
        <v/>
      </c>
      <c r="M7" s="19" t="str">
        <f>'Mail merge'!Z7</f>
        <v/>
      </c>
      <c r="N7" s="20" t="e">
        <f>'Mail merge'!T7</f>
        <v>#N/A</v>
      </c>
      <c r="O7" s="20">
        <f>'Mail merge'!U7</f>
        <v>0</v>
      </c>
      <c r="P7" s="20">
        <f>'Mail merge'!V7</f>
        <v>0</v>
      </c>
      <c r="Q7" s="20" t="e">
        <f>'Mail merge'!W7</f>
        <v>#N/A</v>
      </c>
      <c r="R7" s="19" t="str">
        <f>'Mail merge'!AA7</f>
        <v/>
      </c>
    </row>
    <row r="8" spans="1:18" s="21" customFormat="1" ht="39.75" customHeight="1" x14ac:dyDescent="0.25">
      <c r="A8" s="35">
        <v>7</v>
      </c>
      <c r="B8" s="40">
        <f>'Mail merge'!H8</f>
        <v>0</v>
      </c>
      <c r="C8" s="66" t="s">
        <v>112</v>
      </c>
      <c r="D8" s="33">
        <f>'Mail merge'!K8</f>
        <v>0</v>
      </c>
      <c r="E8" s="34" t="str">
        <f>'Mail merge'!L8</f>
        <v/>
      </c>
      <c r="F8" s="18">
        <f>'Mail merge'!N8</f>
        <v>0</v>
      </c>
      <c r="G8" s="19" t="str">
        <f>'Mail merge'!E8</f>
        <v/>
      </c>
      <c r="H8" s="41">
        <f>'Mail merge'!R8</f>
        <v>0</v>
      </c>
      <c r="I8" s="41">
        <f>'Mail merge'!S8</f>
        <v>0</v>
      </c>
      <c r="J8" s="19">
        <f>'Mail merge'!O8</f>
        <v>0</v>
      </c>
      <c r="K8" s="41">
        <f>'Mail merge'!X8</f>
        <v>0</v>
      </c>
      <c r="L8" s="19" t="str">
        <f>'Mail merge'!Y8</f>
        <v/>
      </c>
      <c r="M8" s="19" t="str">
        <f>'Mail merge'!Z8</f>
        <v/>
      </c>
      <c r="N8" s="20" t="e">
        <f>'Mail merge'!T8</f>
        <v>#N/A</v>
      </c>
      <c r="O8" s="20">
        <f>'Mail merge'!U8</f>
        <v>0</v>
      </c>
      <c r="P8" s="20">
        <f>'Mail merge'!V8</f>
        <v>0</v>
      </c>
      <c r="Q8" s="20" t="e">
        <f>'Mail merge'!W8</f>
        <v>#N/A</v>
      </c>
      <c r="R8" s="19" t="str">
        <f>'Mail merge'!AA8</f>
        <v/>
      </c>
    </row>
    <row r="9" spans="1:18" s="21" customFormat="1" ht="44.25" customHeight="1" x14ac:dyDescent="0.25">
      <c r="A9" s="35">
        <v>8</v>
      </c>
      <c r="B9" s="40">
        <f>'Mail merge'!H9</f>
        <v>0</v>
      </c>
      <c r="C9" s="66" t="s">
        <v>112</v>
      </c>
      <c r="D9" s="33">
        <f>'Mail merge'!K9</f>
        <v>0</v>
      </c>
      <c r="E9" s="34" t="str">
        <f>'Mail merge'!L9</f>
        <v/>
      </c>
      <c r="F9" s="18">
        <f>'Mail merge'!N9</f>
        <v>0</v>
      </c>
      <c r="G9" s="19" t="str">
        <f>'Mail merge'!E9</f>
        <v/>
      </c>
      <c r="H9" s="41">
        <f>'Mail merge'!R9</f>
        <v>0</v>
      </c>
      <c r="I9" s="41">
        <f>'Mail merge'!S9</f>
        <v>0</v>
      </c>
      <c r="J9" s="19">
        <f>'Mail merge'!O9</f>
        <v>0</v>
      </c>
      <c r="K9" s="41">
        <f>'Mail merge'!X9</f>
        <v>0</v>
      </c>
      <c r="L9" s="19" t="str">
        <f>'Mail merge'!Y9</f>
        <v/>
      </c>
      <c r="M9" s="19" t="str">
        <f>'Mail merge'!Z9</f>
        <v/>
      </c>
      <c r="N9" s="20" t="e">
        <f>'Mail merge'!T9</f>
        <v>#N/A</v>
      </c>
      <c r="O9" s="20">
        <f>'Mail merge'!U9</f>
        <v>0</v>
      </c>
      <c r="P9" s="20">
        <f>'Mail merge'!V9</f>
        <v>0</v>
      </c>
      <c r="Q9" s="20" t="e">
        <f>'Mail merge'!W9</f>
        <v>#N/A</v>
      </c>
      <c r="R9" s="19" t="str">
        <f>'Mail merge'!AA9</f>
        <v/>
      </c>
    </row>
    <row r="10" spans="1:18" s="21" customFormat="1" ht="39.75" customHeight="1" x14ac:dyDescent="0.25">
      <c r="A10" s="35">
        <v>9</v>
      </c>
      <c r="B10" s="40">
        <f>'Mail merge'!H10</f>
        <v>0</v>
      </c>
      <c r="C10" s="66" t="s">
        <v>112</v>
      </c>
      <c r="D10" s="33">
        <f>'Mail merge'!K10</f>
        <v>0</v>
      </c>
      <c r="E10" s="34" t="str">
        <f>'Mail merge'!L10</f>
        <v/>
      </c>
      <c r="F10" s="18">
        <f>'Mail merge'!N10</f>
        <v>0</v>
      </c>
      <c r="G10" s="19" t="str">
        <f>'Mail merge'!E10</f>
        <v/>
      </c>
      <c r="H10" s="41">
        <f>'Mail merge'!R10</f>
        <v>0</v>
      </c>
      <c r="I10" s="41">
        <f>'Mail merge'!S10</f>
        <v>0</v>
      </c>
      <c r="J10" s="19">
        <f>'Mail merge'!O10</f>
        <v>0</v>
      </c>
      <c r="K10" s="41">
        <f>'Mail merge'!X10</f>
        <v>0</v>
      </c>
      <c r="L10" s="19" t="str">
        <f>'Mail merge'!Y10</f>
        <v/>
      </c>
      <c r="M10" s="19" t="str">
        <f>'Mail merge'!Z10</f>
        <v/>
      </c>
      <c r="N10" s="20" t="e">
        <f>'Mail merge'!T10</f>
        <v>#N/A</v>
      </c>
      <c r="O10" s="20">
        <f>'Mail merge'!U10</f>
        <v>0</v>
      </c>
      <c r="P10" s="20">
        <f>'Mail merge'!V10</f>
        <v>0</v>
      </c>
      <c r="Q10" s="20" t="e">
        <f>'Mail merge'!W10</f>
        <v>#N/A</v>
      </c>
      <c r="R10" s="19" t="str">
        <f>'Mail merge'!AA10</f>
        <v/>
      </c>
    </row>
    <row r="11" spans="1:18" s="21" customFormat="1" ht="39.75" customHeight="1" x14ac:dyDescent="0.25">
      <c r="A11" s="35">
        <v>10</v>
      </c>
      <c r="B11" s="40">
        <f>'Mail merge'!H11</f>
        <v>0</v>
      </c>
      <c r="C11" s="66" t="s">
        <v>112</v>
      </c>
      <c r="D11" s="33">
        <f>'Mail merge'!K11</f>
        <v>0</v>
      </c>
      <c r="E11" s="34" t="str">
        <f>'Mail merge'!L11</f>
        <v/>
      </c>
      <c r="F11" s="18">
        <f>'Mail merge'!N11</f>
        <v>0</v>
      </c>
      <c r="G11" s="19" t="str">
        <f>'Mail merge'!E11</f>
        <v/>
      </c>
      <c r="H11" s="41">
        <f>'Mail merge'!R11</f>
        <v>0</v>
      </c>
      <c r="I11" s="41">
        <f>'Mail merge'!S11</f>
        <v>0</v>
      </c>
      <c r="J11" s="19">
        <f>'Mail merge'!O11</f>
        <v>0</v>
      </c>
      <c r="K11" s="41">
        <f>'Mail merge'!X11</f>
        <v>0</v>
      </c>
      <c r="L11" s="19" t="str">
        <f>'Mail merge'!Y11</f>
        <v/>
      </c>
      <c r="M11" s="19" t="str">
        <f>'Mail merge'!Z11</f>
        <v/>
      </c>
      <c r="N11" s="20" t="e">
        <f>'Mail merge'!T11</f>
        <v>#N/A</v>
      </c>
      <c r="O11" s="20">
        <f>'Mail merge'!U11</f>
        <v>0</v>
      </c>
      <c r="P11" s="20">
        <f>'Mail merge'!V11</f>
        <v>0</v>
      </c>
      <c r="Q11" s="20" t="e">
        <f>'Mail merge'!W11</f>
        <v>#N/A</v>
      </c>
      <c r="R11" s="19" t="str">
        <f>'Mail merge'!AA11</f>
        <v/>
      </c>
    </row>
    <row r="12" spans="1:18" s="21" customFormat="1" ht="44.25" customHeight="1" x14ac:dyDescent="0.25">
      <c r="A12" s="35">
        <v>11</v>
      </c>
      <c r="B12" s="40">
        <f>'Mail merge'!H12</f>
        <v>0</v>
      </c>
      <c r="C12" s="66" t="s">
        <v>112</v>
      </c>
      <c r="D12" s="33">
        <f>'Mail merge'!K12</f>
        <v>0</v>
      </c>
      <c r="E12" s="34" t="str">
        <f>'Mail merge'!L12</f>
        <v/>
      </c>
      <c r="F12" s="18">
        <f>'Mail merge'!N12</f>
        <v>0</v>
      </c>
      <c r="G12" s="19" t="str">
        <f>'Mail merge'!E12</f>
        <v/>
      </c>
      <c r="H12" s="41">
        <f>'Mail merge'!R12</f>
        <v>0</v>
      </c>
      <c r="I12" s="41">
        <f>'Mail merge'!S12</f>
        <v>0</v>
      </c>
      <c r="J12" s="19">
        <f>'Mail merge'!O12</f>
        <v>0</v>
      </c>
      <c r="K12" s="41">
        <f>'Mail merge'!X12</f>
        <v>0</v>
      </c>
      <c r="L12" s="19" t="str">
        <f>'Mail merge'!Y12</f>
        <v/>
      </c>
      <c r="M12" s="19" t="str">
        <f>'Mail merge'!Z12</f>
        <v/>
      </c>
      <c r="N12" s="20" t="e">
        <f>'Mail merge'!T12</f>
        <v>#N/A</v>
      </c>
      <c r="O12" s="20">
        <f>'Mail merge'!U12</f>
        <v>0</v>
      </c>
      <c r="P12" s="20">
        <f>'Mail merge'!V12</f>
        <v>0</v>
      </c>
      <c r="Q12" s="20" t="e">
        <f>'Mail merge'!W12</f>
        <v>#N/A</v>
      </c>
      <c r="R12" s="19" t="str">
        <f>'Mail merge'!AA12</f>
        <v/>
      </c>
    </row>
    <row r="13" spans="1:18" s="21" customFormat="1" ht="44.25" customHeight="1" x14ac:dyDescent="0.25">
      <c r="A13" s="35">
        <v>12</v>
      </c>
      <c r="B13" s="40">
        <f>'Mail merge'!H13</f>
        <v>0</v>
      </c>
      <c r="C13" s="66" t="s">
        <v>112</v>
      </c>
      <c r="D13" s="33">
        <f>'Mail merge'!K13</f>
        <v>0</v>
      </c>
      <c r="E13" s="34" t="str">
        <f>'Mail merge'!L13</f>
        <v/>
      </c>
      <c r="F13" s="18">
        <f>'Mail merge'!N13</f>
        <v>0</v>
      </c>
      <c r="G13" s="19" t="str">
        <f>'Mail merge'!E13</f>
        <v/>
      </c>
      <c r="H13" s="41">
        <f>'Mail merge'!R13</f>
        <v>0</v>
      </c>
      <c r="I13" s="41">
        <f>'Mail merge'!S13</f>
        <v>0</v>
      </c>
      <c r="J13" s="19">
        <f>'Mail merge'!O13</f>
        <v>0</v>
      </c>
      <c r="K13" s="41">
        <f>'Mail merge'!X13</f>
        <v>0</v>
      </c>
      <c r="L13" s="19" t="str">
        <f>'Mail merge'!Y13</f>
        <v/>
      </c>
      <c r="M13" s="19" t="str">
        <f>'Mail merge'!Z13</f>
        <v/>
      </c>
      <c r="N13" s="20" t="e">
        <f>'Mail merge'!T13</f>
        <v>#N/A</v>
      </c>
      <c r="O13" s="20">
        <f>'Mail merge'!U13</f>
        <v>0</v>
      </c>
      <c r="P13" s="20">
        <f>'Mail merge'!V13</f>
        <v>0</v>
      </c>
      <c r="Q13" s="20" t="e">
        <f>'Mail merge'!W13</f>
        <v>#N/A</v>
      </c>
      <c r="R13" s="19" t="str">
        <f>'Mail merge'!AA13</f>
        <v/>
      </c>
    </row>
    <row r="14" spans="1:18" s="21" customFormat="1" ht="39.75" customHeight="1" x14ac:dyDescent="0.25">
      <c r="A14" s="35">
        <v>13</v>
      </c>
      <c r="B14" s="40">
        <f>'Mail merge'!H14</f>
        <v>0</v>
      </c>
      <c r="C14" s="66" t="s">
        <v>112</v>
      </c>
      <c r="D14" s="33">
        <f>'Mail merge'!K14</f>
        <v>0</v>
      </c>
      <c r="E14" s="34" t="str">
        <f>'Mail merge'!L14</f>
        <v/>
      </c>
      <c r="F14" s="18">
        <f>'Mail merge'!N14</f>
        <v>0</v>
      </c>
      <c r="G14" s="19" t="str">
        <f>'Mail merge'!E14</f>
        <v/>
      </c>
      <c r="H14" s="41">
        <f>'Mail merge'!R14</f>
        <v>0</v>
      </c>
      <c r="I14" s="41">
        <f>'Mail merge'!S14</f>
        <v>0</v>
      </c>
      <c r="J14" s="19">
        <f>'Mail merge'!O14</f>
        <v>0</v>
      </c>
      <c r="K14" s="41">
        <f>'Mail merge'!X14</f>
        <v>0</v>
      </c>
      <c r="L14" s="19" t="str">
        <f>'Mail merge'!Y14</f>
        <v/>
      </c>
      <c r="M14" s="19" t="str">
        <f>'Mail merge'!Z14</f>
        <v/>
      </c>
      <c r="N14" s="20" t="e">
        <f>'Mail merge'!T14</f>
        <v>#N/A</v>
      </c>
      <c r="O14" s="20">
        <f>'Mail merge'!U14</f>
        <v>0</v>
      </c>
      <c r="P14" s="20">
        <f>'Mail merge'!V14</f>
        <v>0</v>
      </c>
      <c r="Q14" s="20" t="e">
        <f>'Mail merge'!W14</f>
        <v>#N/A</v>
      </c>
      <c r="R14" s="19" t="str">
        <f>'Mail merge'!AA14</f>
        <v/>
      </c>
    </row>
    <row r="15" spans="1:18" s="21" customFormat="1" ht="39.75" customHeight="1" x14ac:dyDescent="0.25">
      <c r="A15" s="35">
        <v>14</v>
      </c>
      <c r="B15" s="40">
        <f>'Mail merge'!H15</f>
        <v>0</v>
      </c>
      <c r="C15" s="66" t="s">
        <v>112</v>
      </c>
      <c r="D15" s="33">
        <f>'Mail merge'!K15</f>
        <v>0</v>
      </c>
      <c r="E15" s="34" t="str">
        <f>'Mail merge'!L15</f>
        <v/>
      </c>
      <c r="F15" s="18">
        <f>'Mail merge'!N15</f>
        <v>0</v>
      </c>
      <c r="G15" s="19" t="str">
        <f>'Mail merge'!E15</f>
        <v/>
      </c>
      <c r="H15" s="41">
        <f>'Mail merge'!R15</f>
        <v>0</v>
      </c>
      <c r="I15" s="41">
        <f>'Mail merge'!S15</f>
        <v>0</v>
      </c>
      <c r="J15" s="19">
        <f>'Mail merge'!O15</f>
        <v>0</v>
      </c>
      <c r="K15" s="41">
        <f>'Mail merge'!X15</f>
        <v>0</v>
      </c>
      <c r="L15" s="19" t="str">
        <f>'Mail merge'!Y15</f>
        <v/>
      </c>
      <c r="M15" s="19" t="str">
        <f>'Mail merge'!Z15</f>
        <v/>
      </c>
      <c r="N15" s="20" t="e">
        <f>'Mail merge'!T15</f>
        <v>#N/A</v>
      </c>
      <c r="O15" s="20">
        <f>'Mail merge'!U15</f>
        <v>0</v>
      </c>
      <c r="P15" s="20">
        <f>'Mail merge'!V15</f>
        <v>0</v>
      </c>
      <c r="Q15" s="20" t="e">
        <f>'Mail merge'!W15</f>
        <v>#N/A</v>
      </c>
      <c r="R15" s="19" t="str">
        <f>'Mail merge'!AA15</f>
        <v/>
      </c>
    </row>
    <row r="16" spans="1:18" s="21" customFormat="1" ht="39.75" customHeight="1" x14ac:dyDescent="0.25">
      <c r="A16" s="35">
        <v>15</v>
      </c>
      <c r="B16" s="40">
        <f>'Mail merge'!H16</f>
        <v>0</v>
      </c>
      <c r="C16" s="66" t="s">
        <v>112</v>
      </c>
      <c r="D16" s="33">
        <f>'Mail merge'!K16</f>
        <v>0</v>
      </c>
      <c r="E16" s="34" t="str">
        <f>'Mail merge'!L16</f>
        <v/>
      </c>
      <c r="F16" s="18">
        <f>'Mail merge'!N16</f>
        <v>0</v>
      </c>
      <c r="G16" s="19" t="str">
        <f>'Mail merge'!E16</f>
        <v/>
      </c>
      <c r="H16" s="41">
        <f>'Mail merge'!R16</f>
        <v>0</v>
      </c>
      <c r="I16" s="41">
        <f>'Mail merge'!S16</f>
        <v>0</v>
      </c>
      <c r="J16" s="19">
        <f>'Mail merge'!O16</f>
        <v>0</v>
      </c>
      <c r="K16" s="41">
        <f>'Mail merge'!X16</f>
        <v>0</v>
      </c>
      <c r="L16" s="19" t="str">
        <f>'Mail merge'!Y16</f>
        <v/>
      </c>
      <c r="M16" s="19" t="str">
        <f>'Mail merge'!Z16</f>
        <v/>
      </c>
      <c r="N16" s="20" t="e">
        <f>'Mail merge'!T16</f>
        <v>#N/A</v>
      </c>
      <c r="O16" s="20">
        <f>'Mail merge'!U16</f>
        <v>0</v>
      </c>
      <c r="P16" s="20">
        <f>'Mail merge'!V16</f>
        <v>0</v>
      </c>
      <c r="Q16" s="20" t="e">
        <f>'Mail merge'!W16</f>
        <v>#N/A</v>
      </c>
      <c r="R16" s="19" t="str">
        <f>'Mail merge'!AA16</f>
        <v/>
      </c>
    </row>
    <row r="17" spans="1:18" s="21" customFormat="1" ht="39.75" customHeight="1" x14ac:dyDescent="0.25">
      <c r="A17" s="35">
        <v>16</v>
      </c>
      <c r="B17" s="40">
        <f>'Mail merge'!H17</f>
        <v>0</v>
      </c>
      <c r="C17" s="66" t="s">
        <v>112</v>
      </c>
      <c r="D17" s="33">
        <f>'Mail merge'!K17</f>
        <v>0</v>
      </c>
      <c r="E17" s="34" t="str">
        <f>'Mail merge'!L17</f>
        <v/>
      </c>
      <c r="F17" s="18">
        <f>'Mail merge'!N17</f>
        <v>0</v>
      </c>
      <c r="G17" s="19" t="str">
        <f>'Mail merge'!E17</f>
        <v/>
      </c>
      <c r="H17" s="41">
        <f>'Mail merge'!R17</f>
        <v>0</v>
      </c>
      <c r="I17" s="41">
        <f>'Mail merge'!S17</f>
        <v>0</v>
      </c>
      <c r="J17" s="19">
        <f>'Mail merge'!O17</f>
        <v>0</v>
      </c>
      <c r="K17" s="41">
        <f>'Mail merge'!X17</f>
        <v>0</v>
      </c>
      <c r="L17" s="19" t="str">
        <f>'Mail merge'!Y17</f>
        <v/>
      </c>
      <c r="M17" s="19" t="str">
        <f>'Mail merge'!Z17</f>
        <v/>
      </c>
      <c r="N17" s="20" t="e">
        <f>'Mail merge'!T17</f>
        <v>#N/A</v>
      </c>
      <c r="O17" s="20">
        <f>'Mail merge'!U17</f>
        <v>0</v>
      </c>
      <c r="P17" s="20">
        <f>'Mail merge'!V17</f>
        <v>0</v>
      </c>
      <c r="Q17" s="20" t="e">
        <f>'Mail merge'!W17</f>
        <v>#N/A</v>
      </c>
      <c r="R17" s="19" t="str">
        <f>'Mail merge'!AA17</f>
        <v/>
      </c>
    </row>
    <row r="18" spans="1:18" s="21" customFormat="1" ht="44.25" customHeight="1" x14ac:dyDescent="0.25">
      <c r="A18" s="35">
        <v>17</v>
      </c>
      <c r="B18" s="40">
        <f>'Mail merge'!H18</f>
        <v>0</v>
      </c>
      <c r="C18" s="66" t="s">
        <v>112</v>
      </c>
      <c r="D18" s="33">
        <f>'Mail merge'!K18</f>
        <v>0</v>
      </c>
      <c r="E18" s="34" t="str">
        <f>'Mail merge'!L18</f>
        <v/>
      </c>
      <c r="F18" s="18">
        <f>'Mail merge'!N18</f>
        <v>0</v>
      </c>
      <c r="G18" s="19" t="str">
        <f>'Mail merge'!E18</f>
        <v/>
      </c>
      <c r="H18" s="41">
        <f>'Mail merge'!R18</f>
        <v>0</v>
      </c>
      <c r="I18" s="41">
        <f>'Mail merge'!S18</f>
        <v>0</v>
      </c>
      <c r="J18" s="19">
        <f>'Mail merge'!O18</f>
        <v>0</v>
      </c>
      <c r="K18" s="41">
        <f>'Mail merge'!X18</f>
        <v>0</v>
      </c>
      <c r="L18" s="19" t="str">
        <f>'Mail merge'!Y18</f>
        <v/>
      </c>
      <c r="M18" s="19" t="str">
        <f>'Mail merge'!Z18</f>
        <v/>
      </c>
      <c r="N18" s="20" t="e">
        <f>'Mail merge'!T18</f>
        <v>#N/A</v>
      </c>
      <c r="O18" s="20">
        <f>'Mail merge'!U18</f>
        <v>0</v>
      </c>
      <c r="P18" s="20">
        <f>'Mail merge'!V18</f>
        <v>0</v>
      </c>
      <c r="Q18" s="20" t="e">
        <f>'Mail merge'!W18</f>
        <v>#N/A</v>
      </c>
      <c r="R18" s="19" t="str">
        <f>'Mail merge'!AA18</f>
        <v/>
      </c>
    </row>
    <row r="19" spans="1:18" s="21" customFormat="1" ht="39.75" customHeight="1" x14ac:dyDescent="0.25">
      <c r="A19" s="35">
        <v>18</v>
      </c>
      <c r="B19" s="40">
        <f>'Mail merge'!H19</f>
        <v>0</v>
      </c>
      <c r="C19" s="66" t="s">
        <v>112</v>
      </c>
      <c r="D19" s="33">
        <f>'Mail merge'!K19</f>
        <v>0</v>
      </c>
      <c r="E19" s="34" t="str">
        <f>'Mail merge'!L19</f>
        <v/>
      </c>
      <c r="F19" s="18">
        <f>'Mail merge'!N19</f>
        <v>0</v>
      </c>
      <c r="G19" s="19" t="str">
        <f>'Mail merge'!E19</f>
        <v/>
      </c>
      <c r="H19" s="41">
        <f>'Mail merge'!R19</f>
        <v>0</v>
      </c>
      <c r="I19" s="41">
        <f>'Mail merge'!S19</f>
        <v>0</v>
      </c>
      <c r="J19" s="19">
        <f>'Mail merge'!O19</f>
        <v>0</v>
      </c>
      <c r="K19" s="41">
        <f>'Mail merge'!X19</f>
        <v>0</v>
      </c>
      <c r="L19" s="19" t="str">
        <f>'Mail merge'!Y19</f>
        <v/>
      </c>
      <c r="M19" s="19" t="str">
        <f>'Mail merge'!Z19</f>
        <v/>
      </c>
      <c r="N19" s="20" t="e">
        <f>'Mail merge'!T19</f>
        <v>#N/A</v>
      </c>
      <c r="O19" s="20">
        <f>'Mail merge'!U19</f>
        <v>0</v>
      </c>
      <c r="P19" s="20">
        <f>'Mail merge'!V19</f>
        <v>0</v>
      </c>
      <c r="Q19" s="20" t="e">
        <f>'Mail merge'!W19</f>
        <v>#N/A</v>
      </c>
      <c r="R19" s="19" t="str">
        <f>'Mail merge'!AA19</f>
        <v/>
      </c>
    </row>
    <row r="20" spans="1:18" s="21" customFormat="1" ht="44.25" customHeight="1" x14ac:dyDescent="0.25">
      <c r="A20" s="35">
        <v>19</v>
      </c>
      <c r="B20" s="40">
        <f>'Mail merge'!H20</f>
        <v>0</v>
      </c>
      <c r="C20" s="66" t="s">
        <v>112</v>
      </c>
      <c r="D20" s="33">
        <f>'Mail merge'!K20</f>
        <v>0</v>
      </c>
      <c r="E20" s="34" t="str">
        <f>'Mail merge'!L20</f>
        <v/>
      </c>
      <c r="F20" s="18">
        <f>'Mail merge'!N20</f>
        <v>0</v>
      </c>
      <c r="G20" s="19" t="str">
        <f>'Mail merge'!E20</f>
        <v/>
      </c>
      <c r="H20" s="41">
        <f>'Mail merge'!R20</f>
        <v>0</v>
      </c>
      <c r="I20" s="41">
        <f>'Mail merge'!S20</f>
        <v>0</v>
      </c>
      <c r="J20" s="19">
        <f>'Mail merge'!O20</f>
        <v>0</v>
      </c>
      <c r="K20" s="41">
        <f>'Mail merge'!X20</f>
        <v>0</v>
      </c>
      <c r="L20" s="19" t="str">
        <f>'Mail merge'!Y20</f>
        <v/>
      </c>
      <c r="M20" s="19" t="str">
        <f>'Mail merge'!Z20</f>
        <v/>
      </c>
      <c r="N20" s="20" t="e">
        <f>'Mail merge'!T20</f>
        <v>#N/A</v>
      </c>
      <c r="O20" s="20">
        <f>'Mail merge'!U20</f>
        <v>0</v>
      </c>
      <c r="P20" s="20">
        <f>'Mail merge'!V20</f>
        <v>0</v>
      </c>
      <c r="Q20" s="20" t="e">
        <f>'Mail merge'!W20</f>
        <v>#N/A</v>
      </c>
      <c r="R20" s="19" t="str">
        <f>'Mail merge'!AA20</f>
        <v/>
      </c>
    </row>
    <row r="21" spans="1:18" s="21" customFormat="1" ht="44.25" customHeight="1" x14ac:dyDescent="0.25">
      <c r="A21" s="35">
        <v>20</v>
      </c>
      <c r="B21" s="40">
        <f>'Mail merge'!H21</f>
        <v>0</v>
      </c>
      <c r="C21" s="66" t="s">
        <v>112</v>
      </c>
      <c r="D21" s="33">
        <f>'Mail merge'!K21</f>
        <v>0</v>
      </c>
      <c r="E21" s="34" t="str">
        <f>'Mail merge'!L21</f>
        <v/>
      </c>
      <c r="F21" s="18">
        <f>'Mail merge'!N21</f>
        <v>0</v>
      </c>
      <c r="G21" s="19" t="str">
        <f>'Mail merge'!E21</f>
        <v/>
      </c>
      <c r="H21" s="41">
        <f>'Mail merge'!R21</f>
        <v>0</v>
      </c>
      <c r="I21" s="41">
        <f>'Mail merge'!S21</f>
        <v>0</v>
      </c>
      <c r="J21" s="19">
        <f>'Mail merge'!O21</f>
        <v>0</v>
      </c>
      <c r="K21" s="41">
        <f>'Mail merge'!X21</f>
        <v>0</v>
      </c>
      <c r="L21" s="19" t="str">
        <f>'Mail merge'!Y21</f>
        <v/>
      </c>
      <c r="M21" s="19" t="str">
        <f>'Mail merge'!Z21</f>
        <v/>
      </c>
      <c r="N21" s="20" t="e">
        <f>'Mail merge'!T21</f>
        <v>#N/A</v>
      </c>
      <c r="O21" s="20">
        <f>'Mail merge'!U21</f>
        <v>0</v>
      </c>
      <c r="P21" s="20">
        <f>'Mail merge'!V21</f>
        <v>0</v>
      </c>
      <c r="Q21" s="20" t="e">
        <f>'Mail merge'!W21</f>
        <v>#N/A</v>
      </c>
      <c r="R21" s="19" t="str">
        <f>'Mail merge'!AA21</f>
        <v/>
      </c>
    </row>
    <row r="22" spans="1:18" s="21" customFormat="1" ht="44.25" customHeight="1" x14ac:dyDescent="0.25">
      <c r="A22" s="35">
        <v>21</v>
      </c>
      <c r="B22" s="40">
        <f>'Mail merge'!H22</f>
        <v>0</v>
      </c>
      <c r="C22" s="66" t="s">
        <v>112</v>
      </c>
      <c r="D22" s="33">
        <f>'Mail merge'!K22</f>
        <v>0</v>
      </c>
      <c r="E22" s="34" t="str">
        <f>'Mail merge'!L22</f>
        <v/>
      </c>
      <c r="F22" s="18">
        <f>'Mail merge'!N22</f>
        <v>0</v>
      </c>
      <c r="G22" s="19" t="str">
        <f>'Mail merge'!E22</f>
        <v/>
      </c>
      <c r="H22" s="41">
        <f>'Mail merge'!R22</f>
        <v>0</v>
      </c>
      <c r="I22" s="41">
        <f>'Mail merge'!S22</f>
        <v>0</v>
      </c>
      <c r="J22" s="19">
        <f>'Mail merge'!O22</f>
        <v>0</v>
      </c>
      <c r="K22" s="41">
        <f>'Mail merge'!X22</f>
        <v>0</v>
      </c>
      <c r="L22" s="19" t="str">
        <f>'Mail merge'!Y22</f>
        <v/>
      </c>
      <c r="M22" s="19" t="str">
        <f>'Mail merge'!Z22</f>
        <v/>
      </c>
      <c r="N22" s="20" t="e">
        <f>'Mail merge'!T22</f>
        <v>#N/A</v>
      </c>
      <c r="O22" s="20">
        <f>'Mail merge'!U22</f>
        <v>0</v>
      </c>
      <c r="P22" s="20">
        <f>'Mail merge'!V22</f>
        <v>0</v>
      </c>
      <c r="Q22" s="20" t="e">
        <f>'Mail merge'!W22</f>
        <v>#N/A</v>
      </c>
      <c r="R22" s="19" t="str">
        <f>'Mail merge'!AA22</f>
        <v/>
      </c>
    </row>
    <row r="23" spans="1:18" s="21" customFormat="1" ht="44.25" customHeight="1" x14ac:dyDescent="0.25">
      <c r="A23" s="35">
        <v>22</v>
      </c>
      <c r="B23" s="40">
        <f>'Mail merge'!H23</f>
        <v>0</v>
      </c>
      <c r="C23" s="66" t="s">
        <v>112</v>
      </c>
      <c r="D23" s="33">
        <f>'Mail merge'!K23</f>
        <v>0</v>
      </c>
      <c r="E23" s="34" t="str">
        <f>'Mail merge'!L23</f>
        <v/>
      </c>
      <c r="F23" s="18">
        <f>'Mail merge'!N23</f>
        <v>0</v>
      </c>
      <c r="G23" s="19" t="str">
        <f>'Mail merge'!E23</f>
        <v/>
      </c>
      <c r="H23" s="41">
        <f>'Mail merge'!R23</f>
        <v>0</v>
      </c>
      <c r="I23" s="41">
        <f>'Mail merge'!S23</f>
        <v>0</v>
      </c>
      <c r="J23" s="19">
        <f>'Mail merge'!O23</f>
        <v>0</v>
      </c>
      <c r="K23" s="41">
        <f>'Mail merge'!X23</f>
        <v>0</v>
      </c>
      <c r="L23" s="19" t="str">
        <f>'Mail merge'!Y23</f>
        <v/>
      </c>
      <c r="M23" s="19" t="str">
        <f>'Mail merge'!Z23</f>
        <v/>
      </c>
      <c r="N23" s="20" t="e">
        <f>'Mail merge'!T23</f>
        <v>#N/A</v>
      </c>
      <c r="O23" s="20">
        <f>'Mail merge'!U23</f>
        <v>0</v>
      </c>
      <c r="P23" s="20">
        <f>'Mail merge'!V23</f>
        <v>0</v>
      </c>
      <c r="Q23" s="20" t="e">
        <f>'Mail merge'!W23</f>
        <v>#N/A</v>
      </c>
      <c r="R23" s="19" t="str">
        <f>'Mail merge'!AA23</f>
        <v/>
      </c>
    </row>
    <row r="24" spans="1:18" s="21" customFormat="1" ht="44.25" customHeight="1" x14ac:dyDescent="0.25">
      <c r="A24" s="35">
        <v>23</v>
      </c>
      <c r="B24" s="40">
        <f>'Mail merge'!H24</f>
        <v>0</v>
      </c>
      <c r="C24" s="66" t="s">
        <v>112</v>
      </c>
      <c r="D24" s="33">
        <f>'Mail merge'!K24</f>
        <v>0</v>
      </c>
      <c r="E24" s="34" t="str">
        <f>'Mail merge'!L24</f>
        <v/>
      </c>
      <c r="F24" s="18">
        <f>'Mail merge'!N24</f>
        <v>0</v>
      </c>
      <c r="G24" s="19" t="str">
        <f>'Mail merge'!E24</f>
        <v/>
      </c>
      <c r="H24" s="41">
        <f>'Mail merge'!R24</f>
        <v>0</v>
      </c>
      <c r="I24" s="41">
        <f>'Mail merge'!S24</f>
        <v>0</v>
      </c>
      <c r="J24" s="19">
        <f>'Mail merge'!O24</f>
        <v>0</v>
      </c>
      <c r="K24" s="41">
        <f>'Mail merge'!X24</f>
        <v>0</v>
      </c>
      <c r="L24" s="19" t="str">
        <f>'Mail merge'!Y24</f>
        <v/>
      </c>
      <c r="M24" s="19" t="str">
        <f>'Mail merge'!Z24</f>
        <v/>
      </c>
      <c r="N24" s="20" t="e">
        <f>'Mail merge'!T24</f>
        <v>#N/A</v>
      </c>
      <c r="O24" s="20">
        <f>'Mail merge'!U24</f>
        <v>0</v>
      </c>
      <c r="P24" s="20">
        <f>'Mail merge'!V24</f>
        <v>0</v>
      </c>
      <c r="Q24" s="20" t="e">
        <f>'Mail merge'!W24</f>
        <v>#N/A</v>
      </c>
      <c r="R24" s="19" t="str">
        <f>'Mail merge'!AA24</f>
        <v/>
      </c>
    </row>
    <row r="25" spans="1:18" s="21" customFormat="1" ht="44.25" customHeight="1" x14ac:dyDescent="0.25">
      <c r="A25" s="35">
        <v>24</v>
      </c>
      <c r="B25" s="40">
        <f>'Mail merge'!H25</f>
        <v>0</v>
      </c>
      <c r="C25" s="66" t="s">
        <v>112</v>
      </c>
      <c r="D25" s="33">
        <f>'Mail merge'!K25</f>
        <v>0</v>
      </c>
      <c r="E25" s="34" t="str">
        <f>'Mail merge'!L25</f>
        <v/>
      </c>
      <c r="F25" s="18">
        <f>'Mail merge'!N25</f>
        <v>0</v>
      </c>
      <c r="G25" s="19" t="str">
        <f>'Mail merge'!E25</f>
        <v/>
      </c>
      <c r="H25" s="41">
        <f>'Mail merge'!R25</f>
        <v>0</v>
      </c>
      <c r="I25" s="41">
        <f>'Mail merge'!S25</f>
        <v>0</v>
      </c>
      <c r="J25" s="19">
        <f>'Mail merge'!O25</f>
        <v>0</v>
      </c>
      <c r="K25" s="41">
        <f>'Mail merge'!X25</f>
        <v>0</v>
      </c>
      <c r="L25" s="19" t="str">
        <f>'Mail merge'!Y25</f>
        <v/>
      </c>
      <c r="M25" s="19" t="str">
        <f>'Mail merge'!Z25</f>
        <v/>
      </c>
      <c r="N25" s="20" t="e">
        <f>'Mail merge'!T25</f>
        <v>#N/A</v>
      </c>
      <c r="O25" s="20">
        <f>'Mail merge'!U25</f>
        <v>0</v>
      </c>
      <c r="P25" s="20">
        <f>'Mail merge'!V25</f>
        <v>0</v>
      </c>
      <c r="Q25" s="20" t="e">
        <f>'Mail merge'!W25</f>
        <v>#N/A</v>
      </c>
      <c r="R25" s="19" t="str">
        <f>'Mail merge'!AA25</f>
        <v/>
      </c>
    </row>
    <row r="26" spans="1:18" s="21" customFormat="1" ht="44.25" customHeight="1" x14ac:dyDescent="0.25">
      <c r="A26" s="35">
        <v>25</v>
      </c>
      <c r="B26" s="40">
        <f>'Mail merge'!H26</f>
        <v>0</v>
      </c>
      <c r="C26" s="66" t="s">
        <v>112</v>
      </c>
      <c r="D26" s="33">
        <f>'Mail merge'!K26</f>
        <v>0</v>
      </c>
      <c r="E26" s="34" t="str">
        <f>'Mail merge'!L26</f>
        <v/>
      </c>
      <c r="F26" s="18">
        <f>'Mail merge'!N26</f>
        <v>0</v>
      </c>
      <c r="G26" s="19" t="str">
        <f>'Mail merge'!E26</f>
        <v/>
      </c>
      <c r="H26" s="41">
        <f>'Mail merge'!R26</f>
        <v>0</v>
      </c>
      <c r="I26" s="41">
        <f>'Mail merge'!S26</f>
        <v>0</v>
      </c>
      <c r="J26" s="19">
        <f>'Mail merge'!O26</f>
        <v>0</v>
      </c>
      <c r="K26" s="41">
        <f>'Mail merge'!X26</f>
        <v>0</v>
      </c>
      <c r="L26" s="19" t="str">
        <f>'Mail merge'!Y26</f>
        <v/>
      </c>
      <c r="M26" s="19" t="str">
        <f>'Mail merge'!Z26</f>
        <v/>
      </c>
      <c r="N26" s="20" t="e">
        <f>'Mail merge'!T26</f>
        <v>#N/A</v>
      </c>
      <c r="O26" s="20">
        <f>'Mail merge'!U26</f>
        <v>0</v>
      </c>
      <c r="P26" s="20">
        <f>'Mail merge'!V26</f>
        <v>0</v>
      </c>
      <c r="Q26" s="20" t="e">
        <f>'Mail merge'!W26</f>
        <v>#N/A</v>
      </c>
      <c r="R26" s="19" t="str">
        <f>'Mail merge'!AA26</f>
        <v/>
      </c>
    </row>
    <row r="27" spans="1:18" s="21" customFormat="1" ht="44.25" customHeight="1" x14ac:dyDescent="0.25">
      <c r="A27" s="35">
        <v>26</v>
      </c>
      <c r="B27" s="40">
        <f>'Mail merge'!H27</f>
        <v>0</v>
      </c>
      <c r="C27" s="66" t="s">
        <v>112</v>
      </c>
      <c r="D27" s="33">
        <f>'Mail merge'!K27</f>
        <v>0</v>
      </c>
      <c r="E27" s="34" t="str">
        <f>'Mail merge'!L27</f>
        <v/>
      </c>
      <c r="F27" s="18">
        <f>'Mail merge'!N27</f>
        <v>0</v>
      </c>
      <c r="G27" s="19" t="str">
        <f>'Mail merge'!E27</f>
        <v/>
      </c>
      <c r="H27" s="41">
        <f>'Mail merge'!R27</f>
        <v>0</v>
      </c>
      <c r="I27" s="41">
        <f>'Mail merge'!S27</f>
        <v>0</v>
      </c>
      <c r="J27" s="19">
        <f>'Mail merge'!O27</f>
        <v>0</v>
      </c>
      <c r="K27" s="41">
        <f>'Mail merge'!X27</f>
        <v>0</v>
      </c>
      <c r="L27" s="19" t="str">
        <f>'Mail merge'!Y27</f>
        <v/>
      </c>
      <c r="M27" s="19" t="str">
        <f>'Mail merge'!Z27</f>
        <v/>
      </c>
      <c r="N27" s="20" t="e">
        <f>'Mail merge'!T27</f>
        <v>#N/A</v>
      </c>
      <c r="O27" s="20">
        <f>'Mail merge'!U27</f>
        <v>0</v>
      </c>
      <c r="P27" s="20">
        <f>'Mail merge'!V27</f>
        <v>0</v>
      </c>
      <c r="Q27" s="20" t="e">
        <f>'Mail merge'!W27</f>
        <v>#N/A</v>
      </c>
      <c r="R27" s="19" t="str">
        <f>'Mail merge'!AA27</f>
        <v/>
      </c>
    </row>
    <row r="28" spans="1:18" s="21" customFormat="1" ht="44.25" customHeight="1" x14ac:dyDescent="0.25">
      <c r="A28" s="35">
        <v>27</v>
      </c>
      <c r="B28" s="40">
        <f>'Mail merge'!H28</f>
        <v>0</v>
      </c>
      <c r="C28" s="66" t="s">
        <v>112</v>
      </c>
      <c r="D28" s="33">
        <f>'Mail merge'!K28</f>
        <v>0</v>
      </c>
      <c r="E28" s="34" t="str">
        <f>'Mail merge'!L28</f>
        <v/>
      </c>
      <c r="F28" s="18">
        <f>'Mail merge'!N28</f>
        <v>0</v>
      </c>
      <c r="G28" s="19" t="str">
        <f>'Mail merge'!E28</f>
        <v/>
      </c>
      <c r="H28" s="41">
        <f>'Mail merge'!R28</f>
        <v>0</v>
      </c>
      <c r="I28" s="41">
        <f>'Mail merge'!S28</f>
        <v>0</v>
      </c>
      <c r="J28" s="19">
        <f>'Mail merge'!O28</f>
        <v>0</v>
      </c>
      <c r="K28" s="41">
        <f>'Mail merge'!X28</f>
        <v>0</v>
      </c>
      <c r="L28" s="19" t="str">
        <f>'Mail merge'!Y28</f>
        <v/>
      </c>
      <c r="M28" s="19" t="str">
        <f>'Mail merge'!Z28</f>
        <v/>
      </c>
      <c r="N28" s="20" t="e">
        <f>'Mail merge'!T28</f>
        <v>#N/A</v>
      </c>
      <c r="O28" s="20">
        <f>'Mail merge'!U28</f>
        <v>0</v>
      </c>
      <c r="P28" s="20">
        <f>'Mail merge'!V28</f>
        <v>0</v>
      </c>
      <c r="Q28" s="20" t="e">
        <f>'Mail merge'!W28</f>
        <v>#N/A</v>
      </c>
      <c r="R28" s="19" t="str">
        <f>'Mail merge'!AA28</f>
        <v/>
      </c>
    </row>
    <row r="29" spans="1:18" s="21" customFormat="1" ht="44.25" customHeight="1" x14ac:dyDescent="0.25">
      <c r="A29" s="35">
        <v>28</v>
      </c>
      <c r="B29" s="40">
        <f>'Mail merge'!H29</f>
        <v>0</v>
      </c>
      <c r="C29" s="66" t="s">
        <v>112</v>
      </c>
      <c r="D29" s="33">
        <f>'Mail merge'!K29</f>
        <v>0</v>
      </c>
      <c r="E29" s="34" t="str">
        <f>'Mail merge'!L29</f>
        <v/>
      </c>
      <c r="F29" s="18">
        <f>'Mail merge'!N29</f>
        <v>0</v>
      </c>
      <c r="G29" s="19" t="str">
        <f>'Mail merge'!E29</f>
        <v/>
      </c>
      <c r="H29" s="41">
        <f>'Mail merge'!R29</f>
        <v>0</v>
      </c>
      <c r="I29" s="41">
        <f>'Mail merge'!S29</f>
        <v>0</v>
      </c>
      <c r="J29" s="19">
        <f>'Mail merge'!O29</f>
        <v>0</v>
      </c>
      <c r="K29" s="41">
        <f>'Mail merge'!X29</f>
        <v>0</v>
      </c>
      <c r="L29" s="19" t="str">
        <f>'Mail merge'!Y29</f>
        <v/>
      </c>
      <c r="M29" s="19" t="str">
        <f>'Mail merge'!Z29</f>
        <v/>
      </c>
      <c r="N29" s="20" t="e">
        <f>'Mail merge'!T29</f>
        <v>#N/A</v>
      </c>
      <c r="O29" s="20">
        <f>'Mail merge'!U29</f>
        <v>0</v>
      </c>
      <c r="P29" s="20">
        <f>'Mail merge'!V29</f>
        <v>0</v>
      </c>
      <c r="Q29" s="20" t="e">
        <f>'Mail merge'!W29</f>
        <v>#N/A</v>
      </c>
      <c r="R29" s="19" t="str">
        <f>'Mail merge'!AA29</f>
        <v/>
      </c>
    </row>
    <row r="30" spans="1:18" s="21" customFormat="1" ht="44.25" customHeight="1" x14ac:dyDescent="0.25">
      <c r="A30" s="35">
        <v>29</v>
      </c>
      <c r="B30" s="40">
        <f>'Mail merge'!H30</f>
        <v>0</v>
      </c>
      <c r="C30" s="66" t="s">
        <v>112</v>
      </c>
      <c r="D30" s="33">
        <f>'Mail merge'!K30</f>
        <v>0</v>
      </c>
      <c r="E30" s="34" t="str">
        <f>'Mail merge'!L30</f>
        <v/>
      </c>
      <c r="F30" s="18">
        <f>'Mail merge'!N30</f>
        <v>0</v>
      </c>
      <c r="G30" s="19" t="str">
        <f>'Mail merge'!E30</f>
        <v/>
      </c>
      <c r="H30" s="41">
        <f>'Mail merge'!R30</f>
        <v>0</v>
      </c>
      <c r="I30" s="41">
        <f>'Mail merge'!S30</f>
        <v>0</v>
      </c>
      <c r="J30" s="19">
        <f>'Mail merge'!O30</f>
        <v>0</v>
      </c>
      <c r="K30" s="41">
        <f>'Mail merge'!X30</f>
        <v>0</v>
      </c>
      <c r="L30" s="19" t="str">
        <f>'Mail merge'!Y30</f>
        <v/>
      </c>
      <c r="M30" s="19" t="str">
        <f>'Mail merge'!Z30</f>
        <v/>
      </c>
      <c r="N30" s="20" t="e">
        <f>'Mail merge'!T30</f>
        <v>#N/A</v>
      </c>
      <c r="O30" s="20">
        <f>'Mail merge'!U30</f>
        <v>0</v>
      </c>
      <c r="P30" s="20">
        <f>'Mail merge'!V30</f>
        <v>0</v>
      </c>
      <c r="Q30" s="20" t="e">
        <f>'Mail merge'!W30</f>
        <v>#N/A</v>
      </c>
      <c r="R30" s="19" t="str">
        <f>'Mail merge'!AA30</f>
        <v/>
      </c>
    </row>
    <row r="31" spans="1:18" s="21" customFormat="1" ht="44.25" customHeight="1" x14ac:dyDescent="0.25">
      <c r="A31" s="35">
        <v>30</v>
      </c>
      <c r="B31" s="40">
        <f>'Mail merge'!H31</f>
        <v>0</v>
      </c>
      <c r="C31" s="66" t="s">
        <v>112</v>
      </c>
      <c r="D31" s="33">
        <f>'Mail merge'!K31</f>
        <v>0</v>
      </c>
      <c r="E31" s="34" t="str">
        <f>'Mail merge'!L31</f>
        <v/>
      </c>
      <c r="F31" s="18">
        <f>'Mail merge'!N31</f>
        <v>0</v>
      </c>
      <c r="G31" s="19" t="str">
        <f>'Mail merge'!E31</f>
        <v/>
      </c>
      <c r="H31" s="41">
        <f>'Mail merge'!R31</f>
        <v>0</v>
      </c>
      <c r="I31" s="41">
        <f>'Mail merge'!S31</f>
        <v>0</v>
      </c>
      <c r="J31" s="19">
        <f>'Mail merge'!O31</f>
        <v>0</v>
      </c>
      <c r="K31" s="41">
        <f>'Mail merge'!X31</f>
        <v>0</v>
      </c>
      <c r="L31" s="19" t="str">
        <f>'Mail merge'!Y31</f>
        <v/>
      </c>
      <c r="M31" s="19" t="str">
        <f>'Mail merge'!Z31</f>
        <v/>
      </c>
      <c r="N31" s="20" t="e">
        <f>'Mail merge'!T31</f>
        <v>#N/A</v>
      </c>
      <c r="O31" s="20">
        <f>'Mail merge'!U31</f>
        <v>0</v>
      </c>
      <c r="P31" s="20">
        <f>'Mail merge'!V31</f>
        <v>0</v>
      </c>
      <c r="Q31" s="20" t="e">
        <f>'Mail merge'!W31</f>
        <v>#N/A</v>
      </c>
      <c r="R31" s="19" t="str">
        <f>'Mail merge'!AA31</f>
        <v/>
      </c>
    </row>
    <row r="32" spans="1:18" s="21" customFormat="1" ht="44.25" customHeight="1" x14ac:dyDescent="0.25">
      <c r="A32" s="35">
        <v>31</v>
      </c>
      <c r="B32" s="40">
        <f>'Mail merge'!H32</f>
        <v>0</v>
      </c>
      <c r="C32" s="66" t="s">
        <v>112</v>
      </c>
      <c r="D32" s="33">
        <f>'Mail merge'!K32</f>
        <v>0</v>
      </c>
      <c r="E32" s="34" t="str">
        <f>'Mail merge'!L32</f>
        <v/>
      </c>
      <c r="F32" s="18">
        <f>'Mail merge'!N32</f>
        <v>0</v>
      </c>
      <c r="G32" s="19" t="str">
        <f>'Mail merge'!E32</f>
        <v/>
      </c>
      <c r="H32" s="41">
        <f>'Mail merge'!R32</f>
        <v>0</v>
      </c>
      <c r="I32" s="41">
        <f>'Mail merge'!S32</f>
        <v>0</v>
      </c>
      <c r="J32" s="19">
        <f>'Mail merge'!O32</f>
        <v>0</v>
      </c>
      <c r="K32" s="41">
        <f>'Mail merge'!X32</f>
        <v>0</v>
      </c>
      <c r="L32" s="19" t="str">
        <f>'Mail merge'!Y32</f>
        <v/>
      </c>
      <c r="M32" s="19" t="str">
        <f>'Mail merge'!Z32</f>
        <v/>
      </c>
      <c r="N32" s="20" t="e">
        <f>'Mail merge'!T32</f>
        <v>#N/A</v>
      </c>
      <c r="O32" s="20">
        <f>'Mail merge'!U32</f>
        <v>0</v>
      </c>
      <c r="P32" s="20">
        <f>'Mail merge'!V32</f>
        <v>0</v>
      </c>
      <c r="Q32" s="20" t="e">
        <f>'Mail merge'!W32</f>
        <v>#N/A</v>
      </c>
      <c r="R32" s="19" t="str">
        <f>'Mail merge'!AA32</f>
        <v/>
      </c>
    </row>
    <row r="33" spans="1:18" s="21" customFormat="1" ht="44.25" customHeight="1" x14ac:dyDescent="0.25">
      <c r="A33" s="35">
        <v>32</v>
      </c>
      <c r="B33" s="40">
        <f>'Mail merge'!H33</f>
        <v>0</v>
      </c>
      <c r="C33" s="66" t="s">
        <v>112</v>
      </c>
      <c r="D33" s="33">
        <f>'Mail merge'!K33</f>
        <v>0</v>
      </c>
      <c r="E33" s="34" t="str">
        <f>'Mail merge'!L33</f>
        <v/>
      </c>
      <c r="F33" s="18">
        <f>'Mail merge'!N33</f>
        <v>0</v>
      </c>
      <c r="G33" s="19" t="str">
        <f>'Mail merge'!E33</f>
        <v/>
      </c>
      <c r="H33" s="41">
        <f>'Mail merge'!R33</f>
        <v>0</v>
      </c>
      <c r="I33" s="41">
        <f>'Mail merge'!S33</f>
        <v>0</v>
      </c>
      <c r="J33" s="19">
        <f>'Mail merge'!O33</f>
        <v>0</v>
      </c>
      <c r="K33" s="41">
        <f>'Mail merge'!X33</f>
        <v>0</v>
      </c>
      <c r="L33" s="19" t="str">
        <f>'Mail merge'!Y33</f>
        <v/>
      </c>
      <c r="M33" s="19" t="str">
        <f>'Mail merge'!Z33</f>
        <v/>
      </c>
      <c r="N33" s="20" t="e">
        <f>'Mail merge'!T33</f>
        <v>#N/A</v>
      </c>
      <c r="O33" s="20">
        <f>'Mail merge'!U33</f>
        <v>0</v>
      </c>
      <c r="P33" s="20">
        <f>'Mail merge'!V33</f>
        <v>0</v>
      </c>
      <c r="Q33" s="20" t="e">
        <f>'Mail merge'!W33</f>
        <v>#N/A</v>
      </c>
      <c r="R33" s="19" t="str">
        <f>'Mail merge'!AA33</f>
        <v/>
      </c>
    </row>
    <row r="34" spans="1:18" s="21" customFormat="1" ht="44.25" customHeight="1" x14ac:dyDescent="0.25">
      <c r="A34" s="35">
        <v>33</v>
      </c>
      <c r="B34" s="40">
        <f>'Mail merge'!H34</f>
        <v>0</v>
      </c>
      <c r="C34" s="66" t="s">
        <v>112</v>
      </c>
      <c r="D34" s="33">
        <f>'Mail merge'!K34</f>
        <v>0</v>
      </c>
      <c r="E34" s="34" t="str">
        <f>'Mail merge'!L34</f>
        <v/>
      </c>
      <c r="F34" s="18">
        <f>'Mail merge'!N34</f>
        <v>0</v>
      </c>
      <c r="G34" s="19" t="str">
        <f>'Mail merge'!E34</f>
        <v/>
      </c>
      <c r="H34" s="41">
        <f>'Mail merge'!R34</f>
        <v>0</v>
      </c>
      <c r="I34" s="41">
        <f>'Mail merge'!S34</f>
        <v>0</v>
      </c>
      <c r="J34" s="19">
        <f>'Mail merge'!O34</f>
        <v>0</v>
      </c>
      <c r="K34" s="41">
        <f>'Mail merge'!X34</f>
        <v>0</v>
      </c>
      <c r="L34" s="19" t="str">
        <f>'Mail merge'!Y34</f>
        <v/>
      </c>
      <c r="M34" s="19" t="str">
        <f>'Mail merge'!Z34</f>
        <v/>
      </c>
      <c r="N34" s="20" t="e">
        <f>'Mail merge'!T34</f>
        <v>#N/A</v>
      </c>
      <c r="O34" s="20">
        <f>'Mail merge'!U34</f>
        <v>0</v>
      </c>
      <c r="P34" s="20">
        <f>'Mail merge'!V34</f>
        <v>0</v>
      </c>
      <c r="Q34" s="20" t="e">
        <f>'Mail merge'!W34</f>
        <v>#N/A</v>
      </c>
      <c r="R34" s="19" t="str">
        <f>'Mail merge'!AA34</f>
        <v/>
      </c>
    </row>
    <row r="35" spans="1:18" s="21" customFormat="1" ht="44.25" customHeight="1" x14ac:dyDescent="0.25">
      <c r="A35" s="35">
        <v>34</v>
      </c>
      <c r="B35" s="40">
        <f>'Mail merge'!H35</f>
        <v>0</v>
      </c>
      <c r="C35" s="66" t="s">
        <v>112</v>
      </c>
      <c r="D35" s="33">
        <f>'Mail merge'!K35</f>
        <v>0</v>
      </c>
      <c r="E35" s="34" t="str">
        <f>'Mail merge'!L35</f>
        <v/>
      </c>
      <c r="F35" s="18">
        <f>'Mail merge'!N35</f>
        <v>0</v>
      </c>
      <c r="G35" s="19" t="str">
        <f>'Mail merge'!E35</f>
        <v/>
      </c>
      <c r="H35" s="41">
        <f>'Mail merge'!R35</f>
        <v>0</v>
      </c>
      <c r="I35" s="41">
        <f>'Mail merge'!S35</f>
        <v>0</v>
      </c>
      <c r="J35" s="19">
        <f>'Mail merge'!O35</f>
        <v>0</v>
      </c>
      <c r="K35" s="41">
        <f>'Mail merge'!X35</f>
        <v>0</v>
      </c>
      <c r="L35" s="19" t="str">
        <f>'Mail merge'!Y35</f>
        <v/>
      </c>
      <c r="M35" s="19" t="str">
        <f>'Mail merge'!Z35</f>
        <v/>
      </c>
      <c r="N35" s="20" t="e">
        <f>'Mail merge'!T35</f>
        <v>#N/A</v>
      </c>
      <c r="O35" s="20">
        <f>'Mail merge'!U35</f>
        <v>0</v>
      </c>
      <c r="P35" s="20">
        <f>'Mail merge'!V35</f>
        <v>0</v>
      </c>
      <c r="Q35" s="20" t="e">
        <f>'Mail merge'!W35</f>
        <v>#N/A</v>
      </c>
      <c r="R35" s="19" t="str">
        <f>'Mail merge'!AA35</f>
        <v/>
      </c>
    </row>
    <row r="36" spans="1:18" s="21" customFormat="1" ht="44.25" customHeight="1" x14ac:dyDescent="0.25">
      <c r="A36" s="35">
        <v>35</v>
      </c>
      <c r="B36" s="40">
        <f>'Mail merge'!H36</f>
        <v>0</v>
      </c>
      <c r="C36" s="66" t="s">
        <v>112</v>
      </c>
      <c r="D36" s="33">
        <f>'Mail merge'!K36</f>
        <v>0</v>
      </c>
      <c r="E36" s="34" t="str">
        <f>'Mail merge'!L36</f>
        <v/>
      </c>
      <c r="F36" s="18">
        <f>'Mail merge'!N36</f>
        <v>0</v>
      </c>
      <c r="G36" s="19" t="str">
        <f>'Mail merge'!E36</f>
        <v/>
      </c>
      <c r="H36" s="41">
        <f>'Mail merge'!R36</f>
        <v>0</v>
      </c>
      <c r="I36" s="41">
        <f>'Mail merge'!S36</f>
        <v>0</v>
      </c>
      <c r="J36" s="19">
        <f>'Mail merge'!O36</f>
        <v>0</v>
      </c>
      <c r="K36" s="41">
        <f>'Mail merge'!X36</f>
        <v>0</v>
      </c>
      <c r="L36" s="19" t="str">
        <f>'Mail merge'!Y36</f>
        <v/>
      </c>
      <c r="M36" s="19" t="str">
        <f>'Mail merge'!Z36</f>
        <v/>
      </c>
      <c r="N36" s="20" t="e">
        <f>'Mail merge'!T36</f>
        <v>#N/A</v>
      </c>
      <c r="O36" s="20">
        <f>'Mail merge'!U36</f>
        <v>0</v>
      </c>
      <c r="P36" s="20">
        <f>'Mail merge'!V36</f>
        <v>0</v>
      </c>
      <c r="Q36" s="20" t="e">
        <f>'Mail merge'!W36</f>
        <v>#N/A</v>
      </c>
      <c r="R36" s="19" t="str">
        <f>'Mail merge'!AA36</f>
        <v/>
      </c>
    </row>
    <row r="37" spans="1:18" s="21" customFormat="1" ht="44.25" customHeight="1" x14ac:dyDescent="0.25">
      <c r="A37" s="35"/>
      <c r="B37" s="40"/>
      <c r="C37" s="66"/>
      <c r="D37" s="33"/>
      <c r="E37" s="34"/>
      <c r="F37" s="19"/>
      <c r="G37" s="19"/>
      <c r="H37" s="41"/>
      <c r="I37" s="41"/>
      <c r="J37" s="19"/>
      <c r="K37" s="41"/>
      <c r="L37" s="19"/>
      <c r="M37" s="19"/>
      <c r="N37" s="20"/>
      <c r="O37" s="20"/>
      <c r="P37" s="20"/>
      <c r="Q37" s="20"/>
      <c r="R37" s="19" t="str">
        <f>'Mail merge'!AA37</f>
        <v/>
      </c>
    </row>
    <row r="38" spans="1:18" s="21" customFormat="1" ht="44.25" customHeight="1" x14ac:dyDescent="0.25">
      <c r="A38" s="35"/>
      <c r="B38" s="40"/>
      <c r="C38" s="66"/>
      <c r="D38" s="33"/>
      <c r="E38" s="34"/>
      <c r="F38" s="19"/>
      <c r="G38" s="19"/>
      <c r="H38" s="41"/>
      <c r="I38" s="41"/>
      <c r="J38" s="19"/>
      <c r="K38" s="41"/>
      <c r="L38" s="19"/>
      <c r="M38" s="19"/>
      <c r="N38" s="20"/>
      <c r="O38" s="20"/>
      <c r="P38" s="20"/>
      <c r="Q38" s="20"/>
      <c r="R38" s="19" t="str">
        <f>'Mail merge'!AA38</f>
        <v/>
      </c>
    </row>
    <row r="39" spans="1:18" s="21" customFormat="1" ht="44.25" customHeight="1" x14ac:dyDescent="0.25">
      <c r="A39" s="35"/>
      <c r="B39" s="40"/>
      <c r="C39" s="66"/>
      <c r="D39" s="33"/>
      <c r="E39" s="34"/>
      <c r="F39" s="19"/>
      <c r="G39" s="19"/>
      <c r="H39" s="41"/>
      <c r="I39" s="41"/>
      <c r="J39" s="19"/>
      <c r="K39" s="41"/>
      <c r="L39" s="19"/>
      <c r="M39" s="19"/>
      <c r="N39" s="20"/>
      <c r="O39" s="20"/>
      <c r="P39" s="20"/>
      <c r="Q39" s="20"/>
      <c r="R39" s="19" t="str">
        <f>'Mail merge'!AA39</f>
        <v/>
      </c>
    </row>
    <row r="40" spans="1:18" s="21" customFormat="1" ht="44.25" customHeight="1" x14ac:dyDescent="0.25">
      <c r="A40" s="35"/>
      <c r="B40" s="40"/>
      <c r="C40" s="66"/>
      <c r="D40" s="33"/>
      <c r="E40" s="34"/>
      <c r="F40" s="19"/>
      <c r="G40" s="19"/>
      <c r="H40" s="41"/>
      <c r="I40" s="41"/>
      <c r="J40" s="19"/>
      <c r="K40" s="41"/>
      <c r="L40" s="19"/>
      <c r="M40" s="19"/>
      <c r="N40" s="20"/>
      <c r="O40" s="20"/>
      <c r="P40" s="20"/>
      <c r="Q40" s="20"/>
      <c r="R40" s="19" t="str">
        <f>'Mail merge'!AA40</f>
        <v/>
      </c>
    </row>
    <row r="41" spans="1:18" s="21" customFormat="1" ht="44.25" customHeight="1" x14ac:dyDescent="0.25">
      <c r="A41" s="35"/>
      <c r="B41" s="40"/>
      <c r="C41" s="66"/>
      <c r="D41" s="33"/>
      <c r="E41" s="34"/>
      <c r="F41" s="19"/>
      <c r="G41" s="19"/>
      <c r="H41" s="41"/>
      <c r="I41" s="41"/>
      <c r="J41" s="19"/>
      <c r="K41" s="41"/>
      <c r="L41" s="19"/>
      <c r="M41" s="19"/>
      <c r="N41" s="20"/>
      <c r="O41" s="20"/>
      <c r="P41" s="20"/>
      <c r="Q41" s="20"/>
      <c r="R41" s="19" t="str">
        <f>'Mail merge'!AA41</f>
        <v/>
      </c>
    </row>
    <row r="42" spans="1:18" s="21" customFormat="1" ht="44.25" customHeight="1" x14ac:dyDescent="0.25">
      <c r="A42" s="35"/>
      <c r="B42" s="40"/>
      <c r="C42" s="66"/>
      <c r="D42" s="33"/>
      <c r="E42" s="34"/>
      <c r="F42" s="19"/>
      <c r="G42" s="19"/>
      <c r="H42" s="41"/>
      <c r="I42" s="41"/>
      <c r="J42" s="19"/>
      <c r="K42" s="41"/>
      <c r="L42" s="19"/>
      <c r="M42" s="19"/>
      <c r="N42" s="20"/>
      <c r="O42" s="20"/>
      <c r="P42" s="20"/>
      <c r="Q42" s="20"/>
      <c r="R42" s="19" t="str">
        <f>'Mail merge'!AA42</f>
        <v/>
      </c>
    </row>
    <row r="43" spans="1:18" s="21" customFormat="1" ht="44.25" customHeight="1" x14ac:dyDescent="0.25">
      <c r="A43" s="35"/>
      <c r="B43" s="40"/>
      <c r="C43" s="66"/>
      <c r="D43" s="33"/>
      <c r="E43" s="34"/>
      <c r="F43" s="19"/>
      <c r="G43" s="19"/>
      <c r="H43" s="41"/>
      <c r="I43" s="41"/>
      <c r="J43" s="19"/>
      <c r="K43" s="41"/>
      <c r="L43" s="19"/>
      <c r="M43" s="19"/>
      <c r="N43" s="20"/>
      <c r="O43" s="20"/>
      <c r="P43" s="20"/>
      <c r="Q43" s="20"/>
      <c r="R43" s="19" t="str">
        <f>'Mail merge'!AA43</f>
        <v/>
      </c>
    </row>
    <row r="44" spans="1:18" s="21" customFormat="1" ht="44.25" customHeight="1" x14ac:dyDescent="0.25">
      <c r="A44" s="35"/>
      <c r="B44" s="40"/>
      <c r="C44" s="66"/>
      <c r="D44" s="33"/>
      <c r="E44" s="34"/>
      <c r="F44" s="19"/>
      <c r="G44" s="19"/>
      <c r="H44" s="41"/>
      <c r="I44" s="41"/>
      <c r="J44" s="19"/>
      <c r="K44" s="41"/>
      <c r="L44" s="19"/>
      <c r="M44" s="19"/>
      <c r="N44" s="20"/>
      <c r="O44" s="20"/>
      <c r="P44" s="20"/>
      <c r="Q44" s="20"/>
      <c r="R44" s="19">
        <f>'Mail merge'!AA44</f>
        <v>0</v>
      </c>
    </row>
    <row r="45" spans="1:18" s="21" customFormat="1" ht="44.25" customHeight="1" x14ac:dyDescent="0.25">
      <c r="A45" s="35"/>
      <c r="B45" s="40"/>
      <c r="C45" s="66"/>
      <c r="D45" s="33"/>
      <c r="E45" s="34"/>
      <c r="F45" s="19"/>
      <c r="G45" s="19"/>
      <c r="H45" s="41"/>
      <c r="I45" s="41"/>
      <c r="J45" s="19"/>
      <c r="K45" s="41"/>
      <c r="L45" s="19"/>
      <c r="M45" s="19"/>
      <c r="N45" s="20"/>
      <c r="O45" s="20"/>
      <c r="P45" s="20"/>
      <c r="Q45" s="20"/>
      <c r="R45" s="19">
        <f>'Mail merge'!AA45</f>
        <v>0</v>
      </c>
    </row>
    <row r="46" spans="1:18" s="21" customFormat="1" ht="44.25" customHeight="1" x14ac:dyDescent="0.25">
      <c r="A46" s="35"/>
      <c r="B46" s="40"/>
      <c r="C46" s="66"/>
      <c r="D46" s="33"/>
      <c r="E46" s="34"/>
      <c r="F46" s="19"/>
      <c r="G46" s="19"/>
      <c r="H46" s="41"/>
      <c r="I46" s="41"/>
      <c r="J46" s="19"/>
      <c r="K46" s="41"/>
      <c r="L46" s="19"/>
      <c r="M46" s="19"/>
      <c r="N46" s="20"/>
      <c r="O46" s="20"/>
      <c r="P46" s="20"/>
      <c r="Q46" s="20"/>
      <c r="R46" s="19">
        <f>'Mail merge'!AA46</f>
        <v>0</v>
      </c>
    </row>
    <row r="47" spans="1:18" s="21" customFormat="1" ht="44.25" customHeight="1" x14ac:dyDescent="0.25">
      <c r="A47" s="35"/>
      <c r="B47" s="40"/>
      <c r="C47" s="66"/>
      <c r="D47" s="33"/>
      <c r="E47" s="34"/>
      <c r="F47" s="19"/>
      <c r="G47" s="19"/>
      <c r="H47" s="41"/>
      <c r="I47" s="41"/>
      <c r="J47" s="19"/>
      <c r="K47" s="41"/>
      <c r="L47" s="19"/>
      <c r="M47" s="19"/>
      <c r="N47" s="20"/>
      <c r="O47" s="20"/>
      <c r="P47" s="20"/>
      <c r="Q47" s="20"/>
      <c r="R47" s="19">
        <f>'Mail merge'!AA47</f>
        <v>0</v>
      </c>
    </row>
    <row r="48" spans="1:18" s="21" customFormat="1" ht="44.25" customHeight="1" x14ac:dyDescent="0.25">
      <c r="A48" s="35"/>
      <c r="B48" s="40"/>
      <c r="C48" s="66"/>
      <c r="D48" s="33"/>
      <c r="E48" s="34"/>
      <c r="F48" s="19"/>
      <c r="G48" s="19"/>
      <c r="H48" s="41"/>
      <c r="I48" s="41"/>
      <c r="J48" s="19"/>
      <c r="K48" s="41"/>
      <c r="L48" s="19"/>
      <c r="M48" s="19"/>
      <c r="N48" s="20"/>
      <c r="O48" s="20"/>
      <c r="P48" s="20"/>
      <c r="Q48" s="20"/>
      <c r="R48" s="19">
        <f>'Mail merge'!AA48</f>
        <v>0</v>
      </c>
    </row>
    <row r="49" spans="1:18" s="21" customFormat="1" ht="44.25" customHeight="1" x14ac:dyDescent="0.25">
      <c r="A49" s="35"/>
      <c r="B49" s="40"/>
      <c r="C49" s="66"/>
      <c r="D49" s="33"/>
      <c r="E49" s="34"/>
      <c r="F49" s="19"/>
      <c r="G49" s="19"/>
      <c r="H49" s="41"/>
      <c r="I49" s="41"/>
      <c r="J49" s="19"/>
      <c r="K49" s="41"/>
      <c r="L49" s="19"/>
      <c r="M49" s="19"/>
      <c r="N49" s="20"/>
      <c r="O49" s="20"/>
      <c r="P49" s="20"/>
      <c r="Q49" s="20"/>
      <c r="R49" s="19">
        <f>'Mail merge'!AA49</f>
        <v>0</v>
      </c>
    </row>
    <row r="50" spans="1:18" s="21" customFormat="1" ht="44.25" customHeight="1" x14ac:dyDescent="0.25">
      <c r="A50" s="35"/>
      <c r="B50" s="40"/>
      <c r="C50" s="66"/>
      <c r="D50" s="33"/>
      <c r="E50" s="34"/>
      <c r="F50" s="19"/>
      <c r="G50" s="19"/>
      <c r="H50" s="41"/>
      <c r="I50" s="41"/>
      <c r="J50" s="19"/>
      <c r="K50" s="41"/>
      <c r="L50" s="19"/>
      <c r="M50" s="19"/>
      <c r="N50" s="20"/>
      <c r="O50" s="20"/>
      <c r="P50" s="20"/>
      <c r="Q50" s="20"/>
      <c r="R50" s="19">
        <f>'Mail merge'!AA50</f>
        <v>0</v>
      </c>
    </row>
    <row r="51" spans="1:18" s="21" customFormat="1" ht="44.25" customHeight="1" x14ac:dyDescent="0.25">
      <c r="A51" s="35"/>
      <c r="B51" s="40"/>
      <c r="C51" s="66"/>
      <c r="D51" s="33"/>
      <c r="E51" s="34"/>
      <c r="F51" s="19"/>
      <c r="G51" s="19"/>
      <c r="H51" s="41"/>
      <c r="I51" s="41"/>
      <c r="J51" s="19"/>
      <c r="K51" s="41"/>
      <c r="L51" s="19"/>
      <c r="M51" s="19"/>
      <c r="N51" s="20"/>
      <c r="O51" s="20"/>
      <c r="P51" s="20"/>
      <c r="Q51" s="20"/>
      <c r="R51" s="19">
        <f>'Mail merge'!AA51</f>
        <v>0</v>
      </c>
    </row>
    <row r="52" spans="1:18" s="21" customFormat="1" ht="44.25" customHeight="1" x14ac:dyDescent="0.25">
      <c r="A52" s="35"/>
      <c r="B52" s="40"/>
      <c r="C52" s="66"/>
      <c r="D52" s="33"/>
      <c r="E52" s="34"/>
      <c r="F52" s="19"/>
      <c r="G52" s="19"/>
      <c r="H52" s="41"/>
      <c r="I52" s="41"/>
      <c r="J52" s="19"/>
      <c r="K52" s="41"/>
      <c r="L52" s="19"/>
      <c r="M52" s="19"/>
      <c r="N52" s="20"/>
      <c r="O52" s="20"/>
      <c r="P52" s="20"/>
      <c r="Q52" s="20"/>
      <c r="R52" s="19">
        <f>'Mail merge'!AA52</f>
        <v>0</v>
      </c>
    </row>
    <row r="53" spans="1:18" s="21" customFormat="1" ht="44.25" customHeight="1" x14ac:dyDescent="0.25">
      <c r="A53" s="35"/>
      <c r="B53" s="40"/>
      <c r="C53" s="66"/>
      <c r="D53" s="33"/>
      <c r="E53" s="34"/>
      <c r="F53" s="19"/>
      <c r="G53" s="19"/>
      <c r="H53" s="41"/>
      <c r="I53" s="41"/>
      <c r="J53" s="19"/>
      <c r="K53" s="41"/>
      <c r="L53" s="19"/>
      <c r="M53" s="19"/>
      <c r="N53" s="20"/>
      <c r="O53" s="20"/>
      <c r="P53" s="20"/>
      <c r="Q53" s="20"/>
      <c r="R53" s="19">
        <f>'Mail merge'!AA53</f>
        <v>0</v>
      </c>
    </row>
    <row r="54" spans="1:18" s="21" customFormat="1" ht="44.25" customHeight="1" x14ac:dyDescent="0.25">
      <c r="A54" s="35"/>
      <c r="B54" s="40"/>
      <c r="C54" s="66"/>
      <c r="D54" s="33"/>
      <c r="E54" s="34"/>
      <c r="F54" s="19"/>
      <c r="G54" s="19"/>
      <c r="H54" s="41"/>
      <c r="I54" s="41"/>
      <c r="J54" s="19"/>
      <c r="K54" s="41"/>
      <c r="L54" s="19"/>
      <c r="M54" s="19"/>
      <c r="N54" s="20"/>
      <c r="O54" s="20"/>
      <c r="P54" s="20"/>
      <c r="Q54" s="20"/>
      <c r="R54" s="19">
        <f>'Mail merge'!AA54</f>
        <v>0</v>
      </c>
    </row>
  </sheetData>
  <mergeCells count="1">
    <mergeCell ref="D1:E1"/>
  </mergeCells>
  <phoneticPr fontId="4" type="noConversion"/>
  <pageMargins left="0.35433070866141736" right="0.19685039370078741" top="0.39370078740157483" bottom="0.39370078740157483" header="0.35433070866141736" footer="0.47244094488188981"/>
  <pageSetup paperSize="8" scale="7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B0F0"/>
  </sheetPr>
  <dimension ref="A1:R43"/>
  <sheetViews>
    <sheetView zoomScale="70" zoomScaleNormal="70" zoomScaleSheetLayoutView="70" workbookViewId="0">
      <selection activeCell="A2" sqref="A2:R2"/>
    </sheetView>
  </sheetViews>
  <sheetFormatPr defaultColWidth="9.140625" defaultRowHeight="15.75" x14ac:dyDescent="0.2"/>
  <cols>
    <col min="1" max="1" width="6.85546875" style="29" customWidth="1"/>
    <col min="2" max="2" width="15.5703125" style="22" customWidth="1"/>
    <col min="3" max="3" width="23.42578125" style="21" customWidth="1"/>
    <col min="4" max="4" width="7" style="30" customWidth="1"/>
    <col min="5" max="5" width="31" style="21" customWidth="1"/>
    <col min="6" max="6" width="14.85546875" style="21" customWidth="1"/>
    <col min="7" max="7" width="13.85546875" style="23" customWidth="1"/>
    <col min="8" max="8" width="11.28515625" style="21" customWidth="1"/>
    <col min="9" max="9" width="10.85546875" style="21" customWidth="1"/>
    <col min="10" max="10" width="41" style="21" customWidth="1"/>
    <col min="11" max="11" width="24.42578125" style="21" customWidth="1"/>
    <col min="12" max="12" width="27.140625" style="24" customWidth="1"/>
    <col min="13" max="13" width="18.28515625" style="24" customWidth="1"/>
    <col min="14" max="16" width="10" style="21" customWidth="1"/>
    <col min="17" max="17" width="14.7109375" style="21" customWidth="1"/>
    <col min="18" max="18" width="26" style="24" customWidth="1"/>
    <col min="19" max="16384" width="9.140625" style="14"/>
  </cols>
  <sheetData>
    <row r="1" spans="1:18" s="17" customFormat="1" ht="67.5" customHeight="1" x14ac:dyDescent="0.25">
      <c r="A1" s="31" t="s">
        <v>302</v>
      </c>
      <c r="B1" s="32" t="s">
        <v>303</v>
      </c>
      <c r="C1" s="15" t="s">
        <v>304</v>
      </c>
      <c r="D1" s="160" t="s">
        <v>305</v>
      </c>
      <c r="E1" s="161"/>
      <c r="F1" s="15" t="s">
        <v>318</v>
      </c>
      <c r="G1" s="15" t="s">
        <v>306</v>
      </c>
      <c r="H1" s="15" t="s">
        <v>319</v>
      </c>
      <c r="I1" s="15" t="s">
        <v>320</v>
      </c>
      <c r="J1" s="15" t="s">
        <v>307</v>
      </c>
      <c r="K1" s="15" t="s">
        <v>308</v>
      </c>
      <c r="L1" s="16" t="s">
        <v>309</v>
      </c>
      <c r="M1" s="16" t="s">
        <v>310</v>
      </c>
      <c r="N1" s="15" t="s">
        <v>311</v>
      </c>
      <c r="O1" s="15" t="s">
        <v>117</v>
      </c>
      <c r="P1" s="15" t="s">
        <v>120</v>
      </c>
      <c r="Q1" s="15" t="s">
        <v>312</v>
      </c>
      <c r="R1" s="16" t="s">
        <v>396</v>
      </c>
    </row>
    <row r="2" spans="1:18" s="21" customFormat="1" ht="44.25" customHeight="1" x14ac:dyDescent="0.25">
      <c r="A2" s="35">
        <v>1</v>
      </c>
      <c r="B2" s="40" t="str">
        <f>'Mail merge'!H2</f>
        <v>06.06.2026</v>
      </c>
      <c r="C2" s="66" t="s">
        <v>122</v>
      </c>
      <c r="D2" s="33" t="str">
        <f>'Mail merge'!AD2</f>
        <v>Mr.</v>
      </c>
      <c r="E2" s="34" t="str">
        <f>'Mail merge'!AE2</f>
        <v>KASTHURI RENGAN P</v>
      </c>
      <c r="F2" s="18" t="str">
        <f>'Mail merge'!AG2</f>
        <v>CSE</v>
      </c>
      <c r="G2" s="19" t="str">
        <f>'Mail merge'!E2</f>
        <v>GEA1107</v>
      </c>
      <c r="H2" s="41">
        <f>'Mail merge'!R2</f>
        <v>23</v>
      </c>
      <c r="I2" s="41">
        <f>'Mail merge'!S2</f>
        <v>22</v>
      </c>
      <c r="J2" s="19" t="str">
        <f>'Mail merge'!AH2</f>
        <v>KRCE</v>
      </c>
      <c r="K2" s="41" t="str">
        <f>'Mail merge'!AM2</f>
        <v>913010015846824</v>
      </c>
      <c r="L2" s="19" t="str">
        <f>'Mail merge'!AN2</f>
        <v>AXIS BANK</v>
      </c>
      <c r="M2" s="19" t="str">
        <f>'Mail merge'!AO2</f>
        <v>UTIB0001746</v>
      </c>
      <c r="N2" s="20">
        <f>'Mail merge'!AL2</f>
        <v>440</v>
      </c>
      <c r="O2" s="20">
        <v>0</v>
      </c>
      <c r="P2" s="20">
        <v>0</v>
      </c>
      <c r="Q2" s="20">
        <f>N2+O2+P2</f>
        <v>440</v>
      </c>
      <c r="R2" s="19" t="str">
        <f>'Mail merge'!AP2</f>
        <v>KOTTUR</v>
      </c>
    </row>
    <row r="3" spans="1:18" s="21" customFormat="1" ht="39.75" customHeight="1" x14ac:dyDescent="0.25">
      <c r="A3" s="35">
        <v>2</v>
      </c>
      <c r="B3" s="40">
        <f>'Mail merge'!H3</f>
        <v>0</v>
      </c>
      <c r="C3" s="66" t="s">
        <v>122</v>
      </c>
      <c r="D3" s="33">
        <f>'Mail merge'!AD3</f>
        <v>0</v>
      </c>
      <c r="E3" s="34" t="str">
        <f>'Mail merge'!AE3</f>
        <v/>
      </c>
      <c r="F3" s="18">
        <f>'Mail merge'!AG3</f>
        <v>0</v>
      </c>
      <c r="G3" s="19" t="str">
        <f>'Mail merge'!E3</f>
        <v/>
      </c>
      <c r="H3" s="41">
        <f>'Mail merge'!R3</f>
        <v>0</v>
      </c>
      <c r="I3" s="41">
        <f>'Mail merge'!S3</f>
        <v>0</v>
      </c>
      <c r="J3" s="19" t="str">
        <f>'Mail merge'!AH3</f>
        <v>KRCE</v>
      </c>
      <c r="K3" s="41">
        <f>'Mail merge'!AM3</f>
        <v>0</v>
      </c>
      <c r="L3" s="19" t="str">
        <f>'Mail merge'!AN3</f>
        <v/>
      </c>
      <c r="M3" s="19" t="str">
        <f>'Mail merge'!AO3</f>
        <v/>
      </c>
      <c r="N3" s="20" t="e">
        <f>'Mail merge'!AL3</f>
        <v>#N/A</v>
      </c>
      <c r="O3" s="20">
        <v>0</v>
      </c>
      <c r="P3" s="20">
        <v>0</v>
      </c>
      <c r="Q3" s="20" t="e">
        <f t="shared" ref="Q3:Q41" si="0">N3+O3+P3</f>
        <v>#N/A</v>
      </c>
      <c r="R3" s="19" t="str">
        <f>'Mail merge'!AP3</f>
        <v/>
      </c>
    </row>
    <row r="4" spans="1:18" s="21" customFormat="1" ht="39.75" customHeight="1" x14ac:dyDescent="0.25">
      <c r="A4" s="35">
        <v>3</v>
      </c>
      <c r="B4" s="40">
        <f>'Mail merge'!H4</f>
        <v>0</v>
      </c>
      <c r="C4" s="66" t="s">
        <v>122</v>
      </c>
      <c r="D4" s="33">
        <f>'Mail merge'!AD4</f>
        <v>0</v>
      </c>
      <c r="E4" s="34" t="str">
        <f>'Mail merge'!AE4</f>
        <v/>
      </c>
      <c r="F4" s="18">
        <f>'Mail merge'!AG4</f>
        <v>0</v>
      </c>
      <c r="G4" s="19" t="str">
        <f>'Mail merge'!E4</f>
        <v/>
      </c>
      <c r="H4" s="41">
        <f>'Mail merge'!R4</f>
        <v>0</v>
      </c>
      <c r="I4" s="41">
        <f>'Mail merge'!S4</f>
        <v>0</v>
      </c>
      <c r="J4" s="19" t="str">
        <f>'Mail merge'!AH4</f>
        <v>KRCE</v>
      </c>
      <c r="K4" s="41">
        <f>'Mail merge'!AM4</f>
        <v>0</v>
      </c>
      <c r="L4" s="19" t="str">
        <f>'Mail merge'!AN4</f>
        <v/>
      </c>
      <c r="M4" s="19" t="str">
        <f>'Mail merge'!AO4</f>
        <v/>
      </c>
      <c r="N4" s="20" t="e">
        <f>'Mail merge'!AL4</f>
        <v>#N/A</v>
      </c>
      <c r="O4" s="20">
        <v>0</v>
      </c>
      <c r="P4" s="20">
        <v>0</v>
      </c>
      <c r="Q4" s="20" t="e">
        <f t="shared" si="0"/>
        <v>#N/A</v>
      </c>
      <c r="R4" s="19" t="str">
        <f>'Mail merge'!AP4</f>
        <v/>
      </c>
    </row>
    <row r="5" spans="1:18" s="21" customFormat="1" ht="39.75" customHeight="1" x14ac:dyDescent="0.25">
      <c r="A5" s="35">
        <v>4</v>
      </c>
      <c r="B5" s="40">
        <f>'Mail merge'!H5</f>
        <v>0</v>
      </c>
      <c r="C5" s="66" t="s">
        <v>122</v>
      </c>
      <c r="D5" s="33">
        <f>'Mail merge'!AD5</f>
        <v>0</v>
      </c>
      <c r="E5" s="34" t="str">
        <f>'Mail merge'!AE5</f>
        <v/>
      </c>
      <c r="F5" s="18">
        <f>'Mail merge'!AG5</f>
        <v>0</v>
      </c>
      <c r="G5" s="19" t="str">
        <f>'Mail merge'!E5</f>
        <v/>
      </c>
      <c r="H5" s="41">
        <f>'Mail merge'!R5</f>
        <v>0</v>
      </c>
      <c r="I5" s="41">
        <f>'Mail merge'!S5</f>
        <v>0</v>
      </c>
      <c r="J5" s="19" t="str">
        <f>'Mail merge'!AH5</f>
        <v>KRCE</v>
      </c>
      <c r="K5" s="41">
        <f>'Mail merge'!AM5</f>
        <v>0</v>
      </c>
      <c r="L5" s="19" t="str">
        <f>'Mail merge'!AN5</f>
        <v/>
      </c>
      <c r="M5" s="19" t="str">
        <f>'Mail merge'!AO5</f>
        <v/>
      </c>
      <c r="N5" s="20" t="e">
        <f>'Mail merge'!AL5</f>
        <v>#N/A</v>
      </c>
      <c r="O5" s="20">
        <v>0</v>
      </c>
      <c r="P5" s="20">
        <v>0</v>
      </c>
      <c r="Q5" s="20" t="e">
        <f t="shared" si="0"/>
        <v>#N/A</v>
      </c>
      <c r="R5" s="19" t="str">
        <f>'Mail merge'!AP5</f>
        <v/>
      </c>
    </row>
    <row r="6" spans="1:18" s="21" customFormat="1" ht="39.75" customHeight="1" x14ac:dyDescent="0.25">
      <c r="A6" s="35">
        <v>5</v>
      </c>
      <c r="B6" s="40">
        <f>'Mail merge'!H6</f>
        <v>0</v>
      </c>
      <c r="C6" s="66" t="s">
        <v>122</v>
      </c>
      <c r="D6" s="33">
        <f>'Mail merge'!AD6</f>
        <v>0</v>
      </c>
      <c r="E6" s="34" t="str">
        <f>'Mail merge'!AE6</f>
        <v/>
      </c>
      <c r="F6" s="18">
        <f>'Mail merge'!AG6</f>
        <v>0</v>
      </c>
      <c r="G6" s="19" t="str">
        <f>'Mail merge'!E6</f>
        <v/>
      </c>
      <c r="H6" s="41">
        <f>'Mail merge'!R6</f>
        <v>0</v>
      </c>
      <c r="I6" s="41">
        <f>'Mail merge'!S6</f>
        <v>0</v>
      </c>
      <c r="J6" s="19" t="str">
        <f>'Mail merge'!AH6</f>
        <v>KRCE</v>
      </c>
      <c r="K6" s="41">
        <f>'Mail merge'!AM6</f>
        <v>0</v>
      </c>
      <c r="L6" s="19" t="str">
        <f>'Mail merge'!AN6</f>
        <v/>
      </c>
      <c r="M6" s="19" t="str">
        <f>'Mail merge'!AO6</f>
        <v/>
      </c>
      <c r="N6" s="20" t="e">
        <f>'Mail merge'!AL6</f>
        <v>#N/A</v>
      </c>
      <c r="O6" s="20">
        <v>0</v>
      </c>
      <c r="P6" s="20">
        <v>0</v>
      </c>
      <c r="Q6" s="20" t="e">
        <f t="shared" si="0"/>
        <v>#N/A</v>
      </c>
      <c r="R6" s="19" t="str">
        <f>'Mail merge'!AP6</f>
        <v/>
      </c>
    </row>
    <row r="7" spans="1:18" s="21" customFormat="1" ht="44.25" customHeight="1" x14ac:dyDescent="0.25">
      <c r="A7" s="35">
        <v>6</v>
      </c>
      <c r="B7" s="40">
        <f>'Mail merge'!H7</f>
        <v>0</v>
      </c>
      <c r="C7" s="66" t="s">
        <v>122</v>
      </c>
      <c r="D7" s="33">
        <f>'Mail merge'!AD7</f>
        <v>0</v>
      </c>
      <c r="E7" s="34" t="str">
        <f>'Mail merge'!AE7</f>
        <v/>
      </c>
      <c r="F7" s="18">
        <f>'Mail merge'!AG7</f>
        <v>0</v>
      </c>
      <c r="G7" s="19" t="str">
        <f>'Mail merge'!E7</f>
        <v/>
      </c>
      <c r="H7" s="41">
        <f>'Mail merge'!R7</f>
        <v>0</v>
      </c>
      <c r="I7" s="41">
        <f>'Mail merge'!S7</f>
        <v>0</v>
      </c>
      <c r="J7" s="19" t="str">
        <f>'Mail merge'!AH7</f>
        <v>KRCE</v>
      </c>
      <c r="K7" s="41">
        <f>'Mail merge'!AM7</f>
        <v>0</v>
      </c>
      <c r="L7" s="19" t="str">
        <f>'Mail merge'!AN7</f>
        <v/>
      </c>
      <c r="M7" s="19" t="str">
        <f>'Mail merge'!AO7</f>
        <v/>
      </c>
      <c r="N7" s="20" t="e">
        <f>'Mail merge'!AL7</f>
        <v>#N/A</v>
      </c>
      <c r="O7" s="20">
        <v>0</v>
      </c>
      <c r="P7" s="20">
        <v>0</v>
      </c>
      <c r="Q7" s="20" t="e">
        <f t="shared" si="0"/>
        <v>#N/A</v>
      </c>
      <c r="R7" s="19" t="str">
        <f>'Mail merge'!AP7</f>
        <v/>
      </c>
    </row>
    <row r="8" spans="1:18" s="21" customFormat="1" ht="39.75" customHeight="1" x14ac:dyDescent="0.25">
      <c r="A8" s="35">
        <v>7</v>
      </c>
      <c r="B8" s="40">
        <f>'Mail merge'!H8</f>
        <v>0</v>
      </c>
      <c r="C8" s="66" t="s">
        <v>122</v>
      </c>
      <c r="D8" s="33">
        <f>'Mail merge'!AD8</f>
        <v>0</v>
      </c>
      <c r="E8" s="34" t="str">
        <f>'Mail merge'!AE8</f>
        <v/>
      </c>
      <c r="F8" s="18">
        <f>'Mail merge'!AG8</f>
        <v>0</v>
      </c>
      <c r="G8" s="19" t="str">
        <f>'Mail merge'!E8</f>
        <v/>
      </c>
      <c r="H8" s="41">
        <f>'Mail merge'!R8</f>
        <v>0</v>
      </c>
      <c r="I8" s="41">
        <f>'Mail merge'!S8</f>
        <v>0</v>
      </c>
      <c r="J8" s="19" t="str">
        <f>'Mail merge'!AH8</f>
        <v>KRCE</v>
      </c>
      <c r="K8" s="41">
        <f>'Mail merge'!AM8</f>
        <v>0</v>
      </c>
      <c r="L8" s="19" t="str">
        <f>'Mail merge'!AN8</f>
        <v/>
      </c>
      <c r="M8" s="19" t="str">
        <f>'Mail merge'!AO8</f>
        <v/>
      </c>
      <c r="N8" s="20" t="e">
        <f>'Mail merge'!AL8</f>
        <v>#N/A</v>
      </c>
      <c r="O8" s="20">
        <v>0</v>
      </c>
      <c r="P8" s="20">
        <v>0</v>
      </c>
      <c r="Q8" s="20" t="e">
        <f t="shared" si="0"/>
        <v>#N/A</v>
      </c>
      <c r="R8" s="19" t="str">
        <f>'Mail merge'!AP8</f>
        <v/>
      </c>
    </row>
    <row r="9" spans="1:18" s="21" customFormat="1" ht="44.25" customHeight="1" x14ac:dyDescent="0.25">
      <c r="A9" s="35">
        <v>8</v>
      </c>
      <c r="B9" s="40">
        <f>'Mail merge'!H9</f>
        <v>0</v>
      </c>
      <c r="C9" s="66" t="s">
        <v>122</v>
      </c>
      <c r="D9" s="33">
        <f>'Mail merge'!AD9</f>
        <v>0</v>
      </c>
      <c r="E9" s="34" t="str">
        <f>'Mail merge'!AE9</f>
        <v/>
      </c>
      <c r="F9" s="18">
        <f>'Mail merge'!AG9</f>
        <v>0</v>
      </c>
      <c r="G9" s="19" t="str">
        <f>'Mail merge'!E9</f>
        <v/>
      </c>
      <c r="H9" s="41">
        <f>'Mail merge'!R9</f>
        <v>0</v>
      </c>
      <c r="I9" s="41">
        <f>'Mail merge'!S9</f>
        <v>0</v>
      </c>
      <c r="J9" s="19" t="str">
        <f>'Mail merge'!AH9</f>
        <v>KRCE</v>
      </c>
      <c r="K9" s="41">
        <f>'Mail merge'!AM9</f>
        <v>0</v>
      </c>
      <c r="L9" s="19" t="str">
        <f>'Mail merge'!AN9</f>
        <v/>
      </c>
      <c r="M9" s="19" t="str">
        <f>'Mail merge'!AO9</f>
        <v/>
      </c>
      <c r="N9" s="20" t="e">
        <f>'Mail merge'!AL9</f>
        <v>#N/A</v>
      </c>
      <c r="O9" s="20">
        <v>0</v>
      </c>
      <c r="P9" s="20">
        <v>0</v>
      </c>
      <c r="Q9" s="20" t="e">
        <f t="shared" si="0"/>
        <v>#N/A</v>
      </c>
      <c r="R9" s="19" t="str">
        <f>'Mail merge'!AP9</f>
        <v/>
      </c>
    </row>
    <row r="10" spans="1:18" s="21" customFormat="1" ht="39.75" customHeight="1" x14ac:dyDescent="0.25">
      <c r="A10" s="35">
        <v>9</v>
      </c>
      <c r="B10" s="40">
        <f>'Mail merge'!H10</f>
        <v>0</v>
      </c>
      <c r="C10" s="66" t="s">
        <v>122</v>
      </c>
      <c r="D10" s="33">
        <f>'Mail merge'!AD10</f>
        <v>0</v>
      </c>
      <c r="E10" s="34" t="str">
        <f>'Mail merge'!AE10</f>
        <v/>
      </c>
      <c r="F10" s="18">
        <f>'Mail merge'!AG10</f>
        <v>0</v>
      </c>
      <c r="G10" s="19" t="str">
        <f>'Mail merge'!E10</f>
        <v/>
      </c>
      <c r="H10" s="41">
        <f>'Mail merge'!R10</f>
        <v>0</v>
      </c>
      <c r="I10" s="41">
        <f>'Mail merge'!S10</f>
        <v>0</v>
      </c>
      <c r="J10" s="19" t="str">
        <f>'Mail merge'!AH10</f>
        <v>KRCE</v>
      </c>
      <c r="K10" s="41">
        <f>'Mail merge'!AM10</f>
        <v>0</v>
      </c>
      <c r="L10" s="19" t="str">
        <f>'Mail merge'!AN10</f>
        <v/>
      </c>
      <c r="M10" s="19" t="str">
        <f>'Mail merge'!AO10</f>
        <v/>
      </c>
      <c r="N10" s="20" t="e">
        <f>'Mail merge'!AL10</f>
        <v>#N/A</v>
      </c>
      <c r="O10" s="20">
        <v>0</v>
      </c>
      <c r="P10" s="20">
        <v>0</v>
      </c>
      <c r="Q10" s="20" t="e">
        <f t="shared" si="0"/>
        <v>#N/A</v>
      </c>
      <c r="R10" s="19" t="str">
        <f>'Mail merge'!AP10</f>
        <v/>
      </c>
    </row>
    <row r="11" spans="1:18" s="21" customFormat="1" ht="39.75" customHeight="1" x14ac:dyDescent="0.25">
      <c r="A11" s="35">
        <v>10</v>
      </c>
      <c r="B11" s="40">
        <f>'Mail merge'!H11</f>
        <v>0</v>
      </c>
      <c r="C11" s="66" t="s">
        <v>122</v>
      </c>
      <c r="D11" s="33">
        <f>'Mail merge'!AD11</f>
        <v>0</v>
      </c>
      <c r="E11" s="34" t="str">
        <f>'Mail merge'!AE11</f>
        <v/>
      </c>
      <c r="F11" s="18">
        <f>'Mail merge'!AG11</f>
        <v>0</v>
      </c>
      <c r="G11" s="19" t="str">
        <f>'Mail merge'!E11</f>
        <v/>
      </c>
      <c r="H11" s="41">
        <f>'Mail merge'!R11</f>
        <v>0</v>
      </c>
      <c r="I11" s="41">
        <f>'Mail merge'!S11</f>
        <v>0</v>
      </c>
      <c r="J11" s="19" t="str">
        <f>'Mail merge'!AH11</f>
        <v>KRCE</v>
      </c>
      <c r="K11" s="41">
        <f>'Mail merge'!AM11</f>
        <v>0</v>
      </c>
      <c r="L11" s="19" t="str">
        <f>'Mail merge'!AN11</f>
        <v/>
      </c>
      <c r="M11" s="19" t="str">
        <f>'Mail merge'!AO11</f>
        <v/>
      </c>
      <c r="N11" s="20" t="e">
        <f>'Mail merge'!AL11</f>
        <v>#N/A</v>
      </c>
      <c r="O11" s="20">
        <v>0</v>
      </c>
      <c r="P11" s="20">
        <v>0</v>
      </c>
      <c r="Q11" s="20" t="e">
        <f t="shared" si="0"/>
        <v>#N/A</v>
      </c>
      <c r="R11" s="19" t="str">
        <f>'Mail merge'!AP11</f>
        <v/>
      </c>
    </row>
    <row r="12" spans="1:18" s="21" customFormat="1" ht="44.25" customHeight="1" x14ac:dyDescent="0.25">
      <c r="A12" s="35">
        <v>11</v>
      </c>
      <c r="B12" s="40">
        <f>'Mail merge'!H12</f>
        <v>0</v>
      </c>
      <c r="C12" s="66" t="s">
        <v>122</v>
      </c>
      <c r="D12" s="33">
        <f>'Mail merge'!AD12</f>
        <v>0</v>
      </c>
      <c r="E12" s="34" t="str">
        <f>'Mail merge'!AE12</f>
        <v/>
      </c>
      <c r="F12" s="18">
        <f>'Mail merge'!AG12</f>
        <v>0</v>
      </c>
      <c r="G12" s="19" t="str">
        <f>'Mail merge'!E12</f>
        <v/>
      </c>
      <c r="H12" s="41">
        <f>'Mail merge'!R12</f>
        <v>0</v>
      </c>
      <c r="I12" s="41">
        <f>'Mail merge'!S12</f>
        <v>0</v>
      </c>
      <c r="J12" s="19" t="str">
        <f>'Mail merge'!AH12</f>
        <v>KRCE</v>
      </c>
      <c r="K12" s="41">
        <f>'Mail merge'!AM12</f>
        <v>0</v>
      </c>
      <c r="L12" s="19" t="str">
        <f>'Mail merge'!AN12</f>
        <v/>
      </c>
      <c r="M12" s="19" t="str">
        <f>'Mail merge'!AO12</f>
        <v/>
      </c>
      <c r="N12" s="20" t="e">
        <f>'Mail merge'!AL12</f>
        <v>#N/A</v>
      </c>
      <c r="O12" s="20">
        <v>0</v>
      </c>
      <c r="P12" s="20">
        <v>0</v>
      </c>
      <c r="Q12" s="20" t="e">
        <f t="shared" si="0"/>
        <v>#N/A</v>
      </c>
      <c r="R12" s="19" t="str">
        <f>'Mail merge'!AP12</f>
        <v/>
      </c>
    </row>
    <row r="13" spans="1:18" s="21" customFormat="1" ht="44.25" customHeight="1" x14ac:dyDescent="0.25">
      <c r="A13" s="35">
        <v>12</v>
      </c>
      <c r="B13" s="40">
        <f>'Mail merge'!H13</f>
        <v>0</v>
      </c>
      <c r="C13" s="66" t="s">
        <v>122</v>
      </c>
      <c r="D13" s="33">
        <f>'Mail merge'!AD13</f>
        <v>0</v>
      </c>
      <c r="E13" s="34" t="str">
        <f>'Mail merge'!AE13</f>
        <v/>
      </c>
      <c r="F13" s="18">
        <f>'Mail merge'!AG13</f>
        <v>0</v>
      </c>
      <c r="G13" s="19" t="str">
        <f>'Mail merge'!E13</f>
        <v/>
      </c>
      <c r="H13" s="41">
        <f>'Mail merge'!R13</f>
        <v>0</v>
      </c>
      <c r="I13" s="41">
        <f>'Mail merge'!S13</f>
        <v>0</v>
      </c>
      <c r="J13" s="19" t="str">
        <f>'Mail merge'!AH13</f>
        <v>KRCE</v>
      </c>
      <c r="K13" s="41">
        <f>'Mail merge'!AM13</f>
        <v>0</v>
      </c>
      <c r="L13" s="19" t="str">
        <f>'Mail merge'!AN13</f>
        <v/>
      </c>
      <c r="M13" s="19" t="str">
        <f>'Mail merge'!AO13</f>
        <v/>
      </c>
      <c r="N13" s="20" t="e">
        <f>'Mail merge'!AL13</f>
        <v>#N/A</v>
      </c>
      <c r="O13" s="20">
        <v>0</v>
      </c>
      <c r="P13" s="20">
        <v>0</v>
      </c>
      <c r="Q13" s="20" t="e">
        <f t="shared" si="0"/>
        <v>#N/A</v>
      </c>
      <c r="R13" s="19" t="str">
        <f>'Mail merge'!AP13</f>
        <v/>
      </c>
    </row>
    <row r="14" spans="1:18" s="21" customFormat="1" ht="39.75" customHeight="1" x14ac:dyDescent="0.25">
      <c r="A14" s="35">
        <v>13</v>
      </c>
      <c r="B14" s="40">
        <f>'Mail merge'!H14</f>
        <v>0</v>
      </c>
      <c r="C14" s="66" t="s">
        <v>122</v>
      </c>
      <c r="D14" s="33">
        <f>'Mail merge'!AD14</f>
        <v>0</v>
      </c>
      <c r="E14" s="34" t="str">
        <f>'Mail merge'!AE14</f>
        <v/>
      </c>
      <c r="F14" s="18">
        <f>'Mail merge'!AG14</f>
        <v>0</v>
      </c>
      <c r="G14" s="19" t="str">
        <f>'Mail merge'!E14</f>
        <v/>
      </c>
      <c r="H14" s="41">
        <f>'Mail merge'!R14</f>
        <v>0</v>
      </c>
      <c r="I14" s="41">
        <f>'Mail merge'!S14</f>
        <v>0</v>
      </c>
      <c r="J14" s="19" t="str">
        <f>'Mail merge'!AH14</f>
        <v>KRCE</v>
      </c>
      <c r="K14" s="41">
        <f>'Mail merge'!AM14</f>
        <v>0</v>
      </c>
      <c r="L14" s="19" t="str">
        <f>'Mail merge'!AN14</f>
        <v/>
      </c>
      <c r="M14" s="19" t="str">
        <f>'Mail merge'!AO14</f>
        <v/>
      </c>
      <c r="N14" s="20" t="e">
        <f>'Mail merge'!AL14</f>
        <v>#N/A</v>
      </c>
      <c r="O14" s="20">
        <v>0</v>
      </c>
      <c r="P14" s="20">
        <v>0</v>
      </c>
      <c r="Q14" s="20" t="e">
        <f t="shared" si="0"/>
        <v>#N/A</v>
      </c>
      <c r="R14" s="19" t="str">
        <f>'Mail merge'!AP14</f>
        <v/>
      </c>
    </row>
    <row r="15" spans="1:18" s="21" customFormat="1" ht="39.75" customHeight="1" x14ac:dyDescent="0.25">
      <c r="A15" s="35">
        <v>14</v>
      </c>
      <c r="B15" s="40">
        <f>'Mail merge'!H15</f>
        <v>0</v>
      </c>
      <c r="C15" s="66" t="s">
        <v>122</v>
      </c>
      <c r="D15" s="33">
        <f>'Mail merge'!AD15</f>
        <v>0</v>
      </c>
      <c r="E15" s="34" t="str">
        <f>'Mail merge'!AE15</f>
        <v/>
      </c>
      <c r="F15" s="18">
        <f>'Mail merge'!AG15</f>
        <v>0</v>
      </c>
      <c r="G15" s="19" t="str">
        <f>'Mail merge'!E15</f>
        <v/>
      </c>
      <c r="H15" s="41">
        <f>'Mail merge'!R15</f>
        <v>0</v>
      </c>
      <c r="I15" s="41">
        <f>'Mail merge'!S15</f>
        <v>0</v>
      </c>
      <c r="J15" s="19" t="str">
        <f>'Mail merge'!AH15</f>
        <v>KRCE</v>
      </c>
      <c r="K15" s="41">
        <f>'Mail merge'!AM15</f>
        <v>0</v>
      </c>
      <c r="L15" s="19" t="str">
        <f>'Mail merge'!AN15</f>
        <v/>
      </c>
      <c r="M15" s="19" t="str">
        <f>'Mail merge'!AO15</f>
        <v/>
      </c>
      <c r="N15" s="20" t="e">
        <f>'Mail merge'!AL15</f>
        <v>#N/A</v>
      </c>
      <c r="O15" s="20">
        <v>0</v>
      </c>
      <c r="P15" s="20">
        <v>0</v>
      </c>
      <c r="Q15" s="20" t="e">
        <f t="shared" si="0"/>
        <v>#N/A</v>
      </c>
      <c r="R15" s="19" t="str">
        <f>'Mail merge'!AP15</f>
        <v/>
      </c>
    </row>
    <row r="16" spans="1:18" s="21" customFormat="1" ht="39.75" customHeight="1" x14ac:dyDescent="0.25">
      <c r="A16" s="35">
        <v>15</v>
      </c>
      <c r="B16" s="40">
        <f>'Mail merge'!H16</f>
        <v>0</v>
      </c>
      <c r="C16" s="66" t="s">
        <v>122</v>
      </c>
      <c r="D16" s="33">
        <f>'Mail merge'!AD16</f>
        <v>0</v>
      </c>
      <c r="E16" s="34" t="str">
        <f>'Mail merge'!AE16</f>
        <v/>
      </c>
      <c r="F16" s="18">
        <f>'Mail merge'!AG16</f>
        <v>0</v>
      </c>
      <c r="G16" s="19" t="str">
        <f>'Mail merge'!E16</f>
        <v/>
      </c>
      <c r="H16" s="41">
        <f>'Mail merge'!R16</f>
        <v>0</v>
      </c>
      <c r="I16" s="41">
        <f>'Mail merge'!S16</f>
        <v>0</v>
      </c>
      <c r="J16" s="19" t="str">
        <f>'Mail merge'!AH16</f>
        <v>KRCE</v>
      </c>
      <c r="K16" s="41">
        <f>'Mail merge'!AM16</f>
        <v>0</v>
      </c>
      <c r="L16" s="19" t="str">
        <f>'Mail merge'!AN16</f>
        <v/>
      </c>
      <c r="M16" s="19" t="str">
        <f>'Mail merge'!AO16</f>
        <v/>
      </c>
      <c r="N16" s="20" t="e">
        <f>'Mail merge'!AL16</f>
        <v>#N/A</v>
      </c>
      <c r="O16" s="20">
        <v>0</v>
      </c>
      <c r="P16" s="20">
        <v>0</v>
      </c>
      <c r="Q16" s="20" t="e">
        <f t="shared" si="0"/>
        <v>#N/A</v>
      </c>
      <c r="R16" s="19" t="str">
        <f>'Mail merge'!AP16</f>
        <v/>
      </c>
    </row>
    <row r="17" spans="1:18" s="21" customFormat="1" ht="39.75" customHeight="1" x14ac:dyDescent="0.25">
      <c r="A17" s="35">
        <v>16</v>
      </c>
      <c r="B17" s="40">
        <f>'Mail merge'!H17</f>
        <v>0</v>
      </c>
      <c r="C17" s="66" t="s">
        <v>122</v>
      </c>
      <c r="D17" s="33">
        <f>'Mail merge'!AD17</f>
        <v>0</v>
      </c>
      <c r="E17" s="34" t="str">
        <f>'Mail merge'!AE17</f>
        <v/>
      </c>
      <c r="F17" s="18">
        <f>'Mail merge'!AG17</f>
        <v>0</v>
      </c>
      <c r="G17" s="19" t="str">
        <f>'Mail merge'!E17</f>
        <v/>
      </c>
      <c r="H17" s="41">
        <f>'Mail merge'!R17</f>
        <v>0</v>
      </c>
      <c r="I17" s="41">
        <f>'Mail merge'!S17</f>
        <v>0</v>
      </c>
      <c r="J17" s="19" t="str">
        <f>'Mail merge'!AH17</f>
        <v>KRCE</v>
      </c>
      <c r="K17" s="41">
        <f>'Mail merge'!AM17</f>
        <v>0</v>
      </c>
      <c r="L17" s="19" t="str">
        <f>'Mail merge'!AN17</f>
        <v/>
      </c>
      <c r="M17" s="19" t="str">
        <f>'Mail merge'!AO17</f>
        <v/>
      </c>
      <c r="N17" s="20" t="e">
        <f>'Mail merge'!AL17</f>
        <v>#N/A</v>
      </c>
      <c r="O17" s="20">
        <v>0</v>
      </c>
      <c r="P17" s="20">
        <v>0</v>
      </c>
      <c r="Q17" s="20" t="e">
        <f t="shared" si="0"/>
        <v>#N/A</v>
      </c>
      <c r="R17" s="19" t="str">
        <f>'Mail merge'!AP17</f>
        <v/>
      </c>
    </row>
    <row r="18" spans="1:18" s="21" customFormat="1" ht="44.25" customHeight="1" x14ac:dyDescent="0.25">
      <c r="A18" s="35">
        <v>17</v>
      </c>
      <c r="B18" s="40">
        <f>'Mail merge'!H18</f>
        <v>0</v>
      </c>
      <c r="C18" s="66" t="s">
        <v>122</v>
      </c>
      <c r="D18" s="33">
        <f>'Mail merge'!AD18</f>
        <v>0</v>
      </c>
      <c r="E18" s="34" t="str">
        <f>'Mail merge'!AE18</f>
        <v/>
      </c>
      <c r="F18" s="18">
        <f>'Mail merge'!AG18</f>
        <v>0</v>
      </c>
      <c r="G18" s="19" t="str">
        <f>'Mail merge'!E18</f>
        <v/>
      </c>
      <c r="H18" s="41">
        <f>'Mail merge'!R18</f>
        <v>0</v>
      </c>
      <c r="I18" s="41">
        <f>'Mail merge'!S18</f>
        <v>0</v>
      </c>
      <c r="J18" s="19" t="str">
        <f>'Mail merge'!AH18</f>
        <v>KRCE</v>
      </c>
      <c r="K18" s="41">
        <f>'Mail merge'!AM18</f>
        <v>0</v>
      </c>
      <c r="L18" s="19" t="str">
        <f>'Mail merge'!AN18</f>
        <v/>
      </c>
      <c r="M18" s="19" t="str">
        <f>'Mail merge'!AO18</f>
        <v/>
      </c>
      <c r="N18" s="20" t="e">
        <f>'Mail merge'!AL18</f>
        <v>#N/A</v>
      </c>
      <c r="O18" s="20">
        <v>0</v>
      </c>
      <c r="P18" s="20">
        <v>0</v>
      </c>
      <c r="Q18" s="20" t="e">
        <f t="shared" si="0"/>
        <v>#N/A</v>
      </c>
      <c r="R18" s="19" t="str">
        <f>'Mail merge'!AP18</f>
        <v/>
      </c>
    </row>
    <row r="19" spans="1:18" s="21" customFormat="1" ht="39.75" customHeight="1" x14ac:dyDescent="0.25">
      <c r="A19" s="35">
        <v>18</v>
      </c>
      <c r="B19" s="40">
        <f>'Mail merge'!H19</f>
        <v>0</v>
      </c>
      <c r="C19" s="66" t="s">
        <v>122</v>
      </c>
      <c r="D19" s="33">
        <f>'Mail merge'!AD19</f>
        <v>0</v>
      </c>
      <c r="E19" s="34" t="str">
        <f>'Mail merge'!AE19</f>
        <v/>
      </c>
      <c r="F19" s="18">
        <f>'Mail merge'!AG19</f>
        <v>0</v>
      </c>
      <c r="G19" s="19" t="str">
        <f>'Mail merge'!E19</f>
        <v/>
      </c>
      <c r="H19" s="41">
        <f>'Mail merge'!R19</f>
        <v>0</v>
      </c>
      <c r="I19" s="41">
        <f>'Mail merge'!S19</f>
        <v>0</v>
      </c>
      <c r="J19" s="19" t="str">
        <f>'Mail merge'!AH19</f>
        <v>KRCE</v>
      </c>
      <c r="K19" s="41">
        <f>'Mail merge'!AM19</f>
        <v>0</v>
      </c>
      <c r="L19" s="19" t="str">
        <f>'Mail merge'!AN19</f>
        <v/>
      </c>
      <c r="M19" s="19" t="str">
        <f>'Mail merge'!AO19</f>
        <v/>
      </c>
      <c r="N19" s="20" t="e">
        <f>'Mail merge'!AL19</f>
        <v>#N/A</v>
      </c>
      <c r="O19" s="20">
        <v>0</v>
      </c>
      <c r="P19" s="20">
        <v>0</v>
      </c>
      <c r="Q19" s="20" t="e">
        <f t="shared" si="0"/>
        <v>#N/A</v>
      </c>
      <c r="R19" s="19" t="str">
        <f>'Mail merge'!AP19</f>
        <v/>
      </c>
    </row>
    <row r="20" spans="1:18" s="21" customFormat="1" ht="44.25" customHeight="1" x14ac:dyDescent="0.25">
      <c r="A20" s="35">
        <v>19</v>
      </c>
      <c r="B20" s="40">
        <f>'Mail merge'!H20</f>
        <v>0</v>
      </c>
      <c r="C20" s="66" t="s">
        <v>122</v>
      </c>
      <c r="D20" s="33">
        <f>'Mail merge'!AD20</f>
        <v>0</v>
      </c>
      <c r="E20" s="34" t="str">
        <f>'Mail merge'!AE20</f>
        <v/>
      </c>
      <c r="F20" s="18">
        <f>'Mail merge'!AG20</f>
        <v>0</v>
      </c>
      <c r="G20" s="19" t="str">
        <f>'Mail merge'!E20</f>
        <v/>
      </c>
      <c r="H20" s="41">
        <f>'Mail merge'!R20</f>
        <v>0</v>
      </c>
      <c r="I20" s="41">
        <f>'Mail merge'!S20</f>
        <v>0</v>
      </c>
      <c r="J20" s="19" t="str">
        <f>'Mail merge'!AH20</f>
        <v>KRCE</v>
      </c>
      <c r="K20" s="41">
        <f>'Mail merge'!AM20</f>
        <v>0</v>
      </c>
      <c r="L20" s="19" t="str">
        <f>'Mail merge'!AN20</f>
        <v/>
      </c>
      <c r="M20" s="19" t="str">
        <f>'Mail merge'!AO20</f>
        <v/>
      </c>
      <c r="N20" s="20" t="e">
        <f>'Mail merge'!AL20</f>
        <v>#N/A</v>
      </c>
      <c r="O20" s="20">
        <v>0</v>
      </c>
      <c r="P20" s="20">
        <v>0</v>
      </c>
      <c r="Q20" s="20" t="e">
        <f t="shared" si="0"/>
        <v>#N/A</v>
      </c>
      <c r="R20" s="19" t="str">
        <f>'Mail merge'!AP20</f>
        <v/>
      </c>
    </row>
    <row r="21" spans="1:18" s="21" customFormat="1" ht="44.25" customHeight="1" x14ac:dyDescent="0.25">
      <c r="A21" s="35">
        <v>20</v>
      </c>
      <c r="B21" s="40">
        <f>'Mail merge'!H21</f>
        <v>0</v>
      </c>
      <c r="C21" s="66" t="s">
        <v>122</v>
      </c>
      <c r="D21" s="33">
        <f>'Mail merge'!AD21</f>
        <v>0</v>
      </c>
      <c r="E21" s="34" t="str">
        <f>'Mail merge'!AE21</f>
        <v/>
      </c>
      <c r="F21" s="18">
        <f>'Mail merge'!AG21</f>
        <v>0</v>
      </c>
      <c r="G21" s="19" t="str">
        <f>'Mail merge'!E21</f>
        <v/>
      </c>
      <c r="H21" s="41">
        <f>'Mail merge'!R21</f>
        <v>0</v>
      </c>
      <c r="I21" s="41">
        <f>'Mail merge'!S21</f>
        <v>0</v>
      </c>
      <c r="J21" s="19" t="str">
        <f>'Mail merge'!AH21</f>
        <v>KRCE</v>
      </c>
      <c r="K21" s="41">
        <f>'Mail merge'!AM21</f>
        <v>0</v>
      </c>
      <c r="L21" s="19" t="str">
        <f>'Mail merge'!AN21</f>
        <v/>
      </c>
      <c r="M21" s="19" t="str">
        <f>'Mail merge'!AO21</f>
        <v/>
      </c>
      <c r="N21" s="20" t="e">
        <f>'Mail merge'!AL21</f>
        <v>#N/A</v>
      </c>
      <c r="O21" s="20">
        <v>0</v>
      </c>
      <c r="P21" s="20">
        <v>0</v>
      </c>
      <c r="Q21" s="20" t="e">
        <f t="shared" si="0"/>
        <v>#N/A</v>
      </c>
      <c r="R21" s="19" t="str">
        <f>'Mail merge'!AP21</f>
        <v/>
      </c>
    </row>
    <row r="22" spans="1:18" s="21" customFormat="1" ht="44.25" customHeight="1" x14ac:dyDescent="0.25">
      <c r="A22" s="35">
        <v>21</v>
      </c>
      <c r="B22" s="40">
        <f>'Mail merge'!H22</f>
        <v>0</v>
      </c>
      <c r="C22" s="66" t="s">
        <v>122</v>
      </c>
      <c r="D22" s="33">
        <f>'Mail merge'!AD22</f>
        <v>0</v>
      </c>
      <c r="E22" s="34" t="str">
        <f>'Mail merge'!AE22</f>
        <v/>
      </c>
      <c r="F22" s="18">
        <f>'Mail merge'!AG22</f>
        <v>0</v>
      </c>
      <c r="G22" s="19" t="str">
        <f>'Mail merge'!E22</f>
        <v/>
      </c>
      <c r="H22" s="41">
        <f>'Mail merge'!R22</f>
        <v>0</v>
      </c>
      <c r="I22" s="41">
        <f>'Mail merge'!S22</f>
        <v>0</v>
      </c>
      <c r="J22" s="19" t="str">
        <f>'Mail merge'!AH22</f>
        <v>KRCE</v>
      </c>
      <c r="K22" s="41">
        <f>'Mail merge'!AM22</f>
        <v>0</v>
      </c>
      <c r="L22" s="19" t="str">
        <f>'Mail merge'!AN22</f>
        <v/>
      </c>
      <c r="M22" s="19" t="str">
        <f>'Mail merge'!AO22</f>
        <v/>
      </c>
      <c r="N22" s="20" t="e">
        <f>'Mail merge'!AL22</f>
        <v>#N/A</v>
      </c>
      <c r="O22" s="20">
        <v>0</v>
      </c>
      <c r="P22" s="20">
        <v>0</v>
      </c>
      <c r="Q22" s="20" t="e">
        <f t="shared" si="0"/>
        <v>#N/A</v>
      </c>
      <c r="R22" s="19" t="str">
        <f>'Mail merge'!AP22</f>
        <v/>
      </c>
    </row>
    <row r="23" spans="1:18" s="21" customFormat="1" ht="44.25" customHeight="1" x14ac:dyDescent="0.25">
      <c r="A23" s="35">
        <v>22</v>
      </c>
      <c r="B23" s="40">
        <f>'Mail merge'!H23</f>
        <v>0</v>
      </c>
      <c r="C23" s="66" t="s">
        <v>122</v>
      </c>
      <c r="D23" s="33">
        <f>'Mail merge'!AD23</f>
        <v>0</v>
      </c>
      <c r="E23" s="34" t="str">
        <f>'Mail merge'!AE23</f>
        <v/>
      </c>
      <c r="F23" s="18">
        <f>'Mail merge'!AG23</f>
        <v>0</v>
      </c>
      <c r="G23" s="19" t="str">
        <f>'Mail merge'!E23</f>
        <v/>
      </c>
      <c r="H23" s="41">
        <f>'Mail merge'!R23</f>
        <v>0</v>
      </c>
      <c r="I23" s="41">
        <f>'Mail merge'!S23</f>
        <v>0</v>
      </c>
      <c r="J23" s="19" t="str">
        <f>'Mail merge'!AH23</f>
        <v>KRCE</v>
      </c>
      <c r="K23" s="41">
        <f>'Mail merge'!AM23</f>
        <v>0</v>
      </c>
      <c r="L23" s="19" t="str">
        <f>'Mail merge'!AN23</f>
        <v/>
      </c>
      <c r="M23" s="19" t="str">
        <f>'Mail merge'!AO23</f>
        <v/>
      </c>
      <c r="N23" s="20" t="e">
        <f>'Mail merge'!AL23</f>
        <v>#N/A</v>
      </c>
      <c r="O23" s="20">
        <v>0</v>
      </c>
      <c r="P23" s="20">
        <v>0</v>
      </c>
      <c r="Q23" s="20" t="e">
        <f t="shared" si="0"/>
        <v>#N/A</v>
      </c>
      <c r="R23" s="19" t="str">
        <f>'Mail merge'!AP23</f>
        <v/>
      </c>
    </row>
    <row r="24" spans="1:18" s="21" customFormat="1" ht="44.25" customHeight="1" x14ac:dyDescent="0.25">
      <c r="A24" s="35">
        <v>23</v>
      </c>
      <c r="B24" s="40">
        <f>'Mail merge'!H24</f>
        <v>0</v>
      </c>
      <c r="C24" s="66" t="s">
        <v>122</v>
      </c>
      <c r="D24" s="33">
        <f>'Mail merge'!AD24</f>
        <v>0</v>
      </c>
      <c r="E24" s="34" t="str">
        <f>'Mail merge'!AE24</f>
        <v/>
      </c>
      <c r="F24" s="18">
        <f>'Mail merge'!AG24</f>
        <v>0</v>
      </c>
      <c r="G24" s="19" t="str">
        <f>'Mail merge'!E24</f>
        <v/>
      </c>
      <c r="H24" s="41">
        <f>'Mail merge'!R24</f>
        <v>0</v>
      </c>
      <c r="I24" s="41">
        <f>'Mail merge'!S24</f>
        <v>0</v>
      </c>
      <c r="J24" s="19" t="str">
        <f>'Mail merge'!AH24</f>
        <v>KRCE</v>
      </c>
      <c r="K24" s="41">
        <f>'Mail merge'!AM24</f>
        <v>0</v>
      </c>
      <c r="L24" s="19" t="str">
        <f>'Mail merge'!AN24</f>
        <v/>
      </c>
      <c r="M24" s="19" t="str">
        <f>'Mail merge'!AO24</f>
        <v/>
      </c>
      <c r="N24" s="20" t="e">
        <f>'Mail merge'!AL24</f>
        <v>#N/A</v>
      </c>
      <c r="O24" s="20">
        <v>0</v>
      </c>
      <c r="P24" s="20">
        <v>0</v>
      </c>
      <c r="Q24" s="20" t="e">
        <f t="shared" si="0"/>
        <v>#N/A</v>
      </c>
      <c r="R24" s="19" t="str">
        <f>'Mail merge'!AP24</f>
        <v/>
      </c>
    </row>
    <row r="25" spans="1:18" s="21" customFormat="1" ht="44.25" customHeight="1" x14ac:dyDescent="0.25">
      <c r="A25" s="35">
        <v>24</v>
      </c>
      <c r="B25" s="40">
        <f>'Mail merge'!H25</f>
        <v>0</v>
      </c>
      <c r="C25" s="66" t="s">
        <v>122</v>
      </c>
      <c r="D25" s="33">
        <f>'Mail merge'!AD25</f>
        <v>0</v>
      </c>
      <c r="E25" s="34" t="str">
        <f>'Mail merge'!AE25</f>
        <v/>
      </c>
      <c r="F25" s="18">
        <f>'Mail merge'!AG25</f>
        <v>0</v>
      </c>
      <c r="G25" s="19" t="str">
        <f>'Mail merge'!E25</f>
        <v/>
      </c>
      <c r="H25" s="41">
        <f>'Mail merge'!R25</f>
        <v>0</v>
      </c>
      <c r="I25" s="41">
        <f>'Mail merge'!S25</f>
        <v>0</v>
      </c>
      <c r="J25" s="19" t="str">
        <f>'Mail merge'!AH25</f>
        <v>KRCE</v>
      </c>
      <c r="K25" s="41">
        <f>'Mail merge'!AM25</f>
        <v>0</v>
      </c>
      <c r="L25" s="19" t="str">
        <f>'Mail merge'!AN25</f>
        <v/>
      </c>
      <c r="M25" s="19" t="str">
        <f>'Mail merge'!AO25</f>
        <v/>
      </c>
      <c r="N25" s="20" t="e">
        <f>'Mail merge'!AL25</f>
        <v>#N/A</v>
      </c>
      <c r="O25" s="20">
        <v>0</v>
      </c>
      <c r="P25" s="20">
        <v>0</v>
      </c>
      <c r="Q25" s="20" t="e">
        <f t="shared" si="0"/>
        <v>#N/A</v>
      </c>
      <c r="R25" s="19" t="str">
        <f>'Mail merge'!AP25</f>
        <v/>
      </c>
    </row>
    <row r="26" spans="1:18" s="21" customFormat="1" ht="44.25" customHeight="1" x14ac:dyDescent="0.25">
      <c r="A26" s="35">
        <v>25</v>
      </c>
      <c r="B26" s="40">
        <f>'Mail merge'!H26</f>
        <v>0</v>
      </c>
      <c r="C26" s="66" t="s">
        <v>122</v>
      </c>
      <c r="D26" s="33">
        <f>'Mail merge'!AD26</f>
        <v>0</v>
      </c>
      <c r="E26" s="34" t="str">
        <f>'Mail merge'!AE26</f>
        <v/>
      </c>
      <c r="F26" s="18">
        <f>'Mail merge'!AG26</f>
        <v>0</v>
      </c>
      <c r="G26" s="19" t="str">
        <f>'Mail merge'!E26</f>
        <v/>
      </c>
      <c r="H26" s="41">
        <f>'Mail merge'!R26</f>
        <v>0</v>
      </c>
      <c r="I26" s="41">
        <f>'Mail merge'!S26</f>
        <v>0</v>
      </c>
      <c r="J26" s="19" t="str">
        <f>'Mail merge'!AH26</f>
        <v>KRCE</v>
      </c>
      <c r="K26" s="41">
        <f>'Mail merge'!AM26</f>
        <v>0</v>
      </c>
      <c r="L26" s="19" t="str">
        <f>'Mail merge'!AN26</f>
        <v/>
      </c>
      <c r="M26" s="19" t="str">
        <f>'Mail merge'!AO26</f>
        <v/>
      </c>
      <c r="N26" s="20" t="e">
        <f>'Mail merge'!AL26</f>
        <v>#N/A</v>
      </c>
      <c r="O26" s="20">
        <v>0</v>
      </c>
      <c r="P26" s="20">
        <v>0</v>
      </c>
      <c r="Q26" s="20" t="e">
        <f t="shared" si="0"/>
        <v>#N/A</v>
      </c>
      <c r="R26" s="19" t="str">
        <f>'Mail merge'!AP26</f>
        <v/>
      </c>
    </row>
    <row r="27" spans="1:18" s="21" customFormat="1" ht="44.25" customHeight="1" x14ac:dyDescent="0.25">
      <c r="A27" s="35">
        <v>26</v>
      </c>
      <c r="B27" s="40">
        <f>'Mail merge'!H27</f>
        <v>0</v>
      </c>
      <c r="C27" s="66" t="s">
        <v>122</v>
      </c>
      <c r="D27" s="33">
        <f>'Mail merge'!AD27</f>
        <v>0</v>
      </c>
      <c r="E27" s="34" t="str">
        <f>'Mail merge'!AE27</f>
        <v/>
      </c>
      <c r="F27" s="18">
        <f>'Mail merge'!AG27</f>
        <v>0</v>
      </c>
      <c r="G27" s="19" t="str">
        <f>'Mail merge'!E27</f>
        <v/>
      </c>
      <c r="H27" s="41">
        <f>'Mail merge'!R27</f>
        <v>0</v>
      </c>
      <c r="I27" s="41">
        <f>'Mail merge'!S27</f>
        <v>0</v>
      </c>
      <c r="J27" s="19" t="str">
        <f>'Mail merge'!AH27</f>
        <v>KRCE</v>
      </c>
      <c r="K27" s="41">
        <f>'Mail merge'!AM27</f>
        <v>0</v>
      </c>
      <c r="L27" s="19" t="str">
        <f>'Mail merge'!AN27</f>
        <v/>
      </c>
      <c r="M27" s="19" t="str">
        <f>'Mail merge'!AO27</f>
        <v/>
      </c>
      <c r="N27" s="20" t="e">
        <f>'Mail merge'!AL27</f>
        <v>#N/A</v>
      </c>
      <c r="O27" s="20">
        <v>0</v>
      </c>
      <c r="P27" s="20">
        <v>0</v>
      </c>
      <c r="Q27" s="20" t="e">
        <f t="shared" si="0"/>
        <v>#N/A</v>
      </c>
      <c r="R27" s="19" t="str">
        <f>'Mail merge'!AP27</f>
        <v/>
      </c>
    </row>
    <row r="28" spans="1:18" s="21" customFormat="1" ht="44.25" customHeight="1" x14ac:dyDescent="0.25">
      <c r="A28" s="35">
        <v>27</v>
      </c>
      <c r="B28" s="40">
        <f>'Mail merge'!H28</f>
        <v>0</v>
      </c>
      <c r="C28" s="66" t="s">
        <v>122</v>
      </c>
      <c r="D28" s="33">
        <f>'Mail merge'!AD28</f>
        <v>0</v>
      </c>
      <c r="E28" s="34" t="str">
        <f>'Mail merge'!AE28</f>
        <v/>
      </c>
      <c r="F28" s="18">
        <f>'Mail merge'!AG28</f>
        <v>0</v>
      </c>
      <c r="G28" s="19" t="str">
        <f>'Mail merge'!E28</f>
        <v/>
      </c>
      <c r="H28" s="41">
        <f>'Mail merge'!R28</f>
        <v>0</v>
      </c>
      <c r="I28" s="41">
        <f>'Mail merge'!S28</f>
        <v>0</v>
      </c>
      <c r="J28" s="19" t="str">
        <f>'Mail merge'!AH28</f>
        <v>KRCE</v>
      </c>
      <c r="K28" s="41">
        <f>'Mail merge'!AM28</f>
        <v>0</v>
      </c>
      <c r="L28" s="19" t="str">
        <f>'Mail merge'!AN28</f>
        <v/>
      </c>
      <c r="M28" s="19" t="str">
        <f>'Mail merge'!AO28</f>
        <v/>
      </c>
      <c r="N28" s="20" t="e">
        <f>'Mail merge'!AL28</f>
        <v>#N/A</v>
      </c>
      <c r="O28" s="20">
        <v>0</v>
      </c>
      <c r="P28" s="20">
        <v>0</v>
      </c>
      <c r="Q28" s="20" t="e">
        <f t="shared" si="0"/>
        <v>#N/A</v>
      </c>
      <c r="R28" s="19" t="str">
        <f>'Mail merge'!AP28</f>
        <v/>
      </c>
    </row>
    <row r="29" spans="1:18" s="21" customFormat="1" ht="44.25" customHeight="1" x14ac:dyDescent="0.25">
      <c r="A29" s="35">
        <v>28</v>
      </c>
      <c r="B29" s="40">
        <f>'Mail merge'!H29</f>
        <v>0</v>
      </c>
      <c r="C29" s="66" t="s">
        <v>122</v>
      </c>
      <c r="D29" s="33">
        <f>'Mail merge'!AD29</f>
        <v>0</v>
      </c>
      <c r="E29" s="34" t="str">
        <f>'Mail merge'!AE29</f>
        <v/>
      </c>
      <c r="F29" s="18">
        <f>'Mail merge'!AG29</f>
        <v>0</v>
      </c>
      <c r="G29" s="19" t="str">
        <f>'Mail merge'!E29</f>
        <v/>
      </c>
      <c r="H29" s="41">
        <f>'Mail merge'!R29</f>
        <v>0</v>
      </c>
      <c r="I29" s="41">
        <f>'Mail merge'!S29</f>
        <v>0</v>
      </c>
      <c r="J29" s="19" t="str">
        <f>'Mail merge'!AH29</f>
        <v>KRCE</v>
      </c>
      <c r="K29" s="41">
        <f>'Mail merge'!AM29</f>
        <v>0</v>
      </c>
      <c r="L29" s="19" t="str">
        <f>'Mail merge'!AN29</f>
        <v/>
      </c>
      <c r="M29" s="19" t="str">
        <f>'Mail merge'!AO29</f>
        <v/>
      </c>
      <c r="N29" s="20" t="e">
        <f>'Mail merge'!AL29</f>
        <v>#N/A</v>
      </c>
      <c r="O29" s="20">
        <v>0</v>
      </c>
      <c r="P29" s="20">
        <v>0</v>
      </c>
      <c r="Q29" s="20" t="e">
        <f t="shared" si="0"/>
        <v>#N/A</v>
      </c>
      <c r="R29" s="19" t="str">
        <f>'Mail merge'!AP29</f>
        <v/>
      </c>
    </row>
    <row r="30" spans="1:18" s="21" customFormat="1" ht="44.25" customHeight="1" x14ac:dyDescent="0.25">
      <c r="A30" s="35">
        <v>29</v>
      </c>
      <c r="B30" s="40">
        <f>'Mail merge'!H30</f>
        <v>0</v>
      </c>
      <c r="C30" s="66" t="s">
        <v>122</v>
      </c>
      <c r="D30" s="33">
        <f>'Mail merge'!AD30</f>
        <v>0</v>
      </c>
      <c r="E30" s="34" t="str">
        <f>'Mail merge'!AE30</f>
        <v/>
      </c>
      <c r="F30" s="18">
        <f>'Mail merge'!AG30</f>
        <v>0</v>
      </c>
      <c r="G30" s="19" t="str">
        <f>'Mail merge'!E30</f>
        <v/>
      </c>
      <c r="H30" s="41">
        <f>'Mail merge'!R30</f>
        <v>0</v>
      </c>
      <c r="I30" s="41">
        <f>'Mail merge'!S30</f>
        <v>0</v>
      </c>
      <c r="J30" s="19" t="str">
        <f>'Mail merge'!AH30</f>
        <v>KRCE</v>
      </c>
      <c r="K30" s="41">
        <f>'Mail merge'!AM30</f>
        <v>0</v>
      </c>
      <c r="L30" s="19" t="str">
        <f>'Mail merge'!AN30</f>
        <v/>
      </c>
      <c r="M30" s="19" t="str">
        <f>'Mail merge'!AO30</f>
        <v/>
      </c>
      <c r="N30" s="20" t="e">
        <f>'Mail merge'!AL30</f>
        <v>#N/A</v>
      </c>
      <c r="O30" s="20">
        <v>0</v>
      </c>
      <c r="P30" s="20">
        <v>0</v>
      </c>
      <c r="Q30" s="20" t="e">
        <f t="shared" si="0"/>
        <v>#N/A</v>
      </c>
      <c r="R30" s="19" t="str">
        <f>'Mail merge'!AP30</f>
        <v/>
      </c>
    </row>
    <row r="31" spans="1:18" s="21" customFormat="1" ht="44.25" customHeight="1" x14ac:dyDescent="0.25">
      <c r="A31" s="35">
        <v>30</v>
      </c>
      <c r="B31" s="40">
        <f>'Mail merge'!H31</f>
        <v>0</v>
      </c>
      <c r="C31" s="66" t="s">
        <v>122</v>
      </c>
      <c r="D31" s="33">
        <f>'Mail merge'!AD31</f>
        <v>0</v>
      </c>
      <c r="E31" s="34" t="str">
        <f>'Mail merge'!AE31</f>
        <v/>
      </c>
      <c r="F31" s="18">
        <f>'Mail merge'!AG31</f>
        <v>0</v>
      </c>
      <c r="G31" s="19" t="str">
        <f>'Mail merge'!E31</f>
        <v/>
      </c>
      <c r="H31" s="41">
        <f>'Mail merge'!R31</f>
        <v>0</v>
      </c>
      <c r="I31" s="41">
        <f>'Mail merge'!S31</f>
        <v>0</v>
      </c>
      <c r="J31" s="19" t="str">
        <f>'Mail merge'!AH31</f>
        <v>KRCE</v>
      </c>
      <c r="K31" s="41">
        <f>'Mail merge'!AM31</f>
        <v>0</v>
      </c>
      <c r="L31" s="19" t="str">
        <f>'Mail merge'!AN31</f>
        <v/>
      </c>
      <c r="M31" s="19" t="str">
        <f>'Mail merge'!AO31</f>
        <v/>
      </c>
      <c r="N31" s="20" t="e">
        <f>'Mail merge'!AL31</f>
        <v>#N/A</v>
      </c>
      <c r="O31" s="20">
        <v>0</v>
      </c>
      <c r="P31" s="20">
        <v>0</v>
      </c>
      <c r="Q31" s="20" t="e">
        <f t="shared" si="0"/>
        <v>#N/A</v>
      </c>
      <c r="R31" s="19" t="str">
        <f>'Mail merge'!AP31</f>
        <v/>
      </c>
    </row>
    <row r="32" spans="1:18" s="21" customFormat="1" ht="44.25" customHeight="1" x14ac:dyDescent="0.25">
      <c r="A32" s="35">
        <v>31</v>
      </c>
      <c r="B32" s="40">
        <f>'Mail merge'!H32</f>
        <v>0</v>
      </c>
      <c r="C32" s="66" t="s">
        <v>122</v>
      </c>
      <c r="D32" s="33">
        <f>'Mail merge'!AD32</f>
        <v>0</v>
      </c>
      <c r="E32" s="34" t="str">
        <f>'Mail merge'!AE32</f>
        <v/>
      </c>
      <c r="F32" s="18">
        <f>'Mail merge'!AG32</f>
        <v>0</v>
      </c>
      <c r="G32" s="19" t="str">
        <f>'Mail merge'!E32</f>
        <v/>
      </c>
      <c r="H32" s="41">
        <f>'Mail merge'!R32</f>
        <v>0</v>
      </c>
      <c r="I32" s="41">
        <f>'Mail merge'!S32</f>
        <v>0</v>
      </c>
      <c r="J32" s="19" t="str">
        <f>'Mail merge'!AH32</f>
        <v>KRCE</v>
      </c>
      <c r="K32" s="41">
        <f>'Mail merge'!AM32</f>
        <v>0</v>
      </c>
      <c r="L32" s="19" t="str">
        <f>'Mail merge'!AN32</f>
        <v/>
      </c>
      <c r="M32" s="19" t="str">
        <f>'Mail merge'!AO32</f>
        <v/>
      </c>
      <c r="N32" s="20" t="e">
        <f>'Mail merge'!AL32</f>
        <v>#N/A</v>
      </c>
      <c r="O32" s="20">
        <v>0</v>
      </c>
      <c r="P32" s="20">
        <v>0</v>
      </c>
      <c r="Q32" s="20" t="e">
        <f t="shared" si="0"/>
        <v>#N/A</v>
      </c>
      <c r="R32" s="19" t="str">
        <f>'Mail merge'!AP32</f>
        <v/>
      </c>
    </row>
    <row r="33" spans="1:18" s="21" customFormat="1" ht="44.25" customHeight="1" x14ac:dyDescent="0.25">
      <c r="A33" s="35">
        <v>32</v>
      </c>
      <c r="B33" s="40">
        <f>'Mail merge'!H33</f>
        <v>0</v>
      </c>
      <c r="C33" s="66" t="s">
        <v>122</v>
      </c>
      <c r="D33" s="33">
        <f>'Mail merge'!AD33</f>
        <v>0</v>
      </c>
      <c r="E33" s="34" t="str">
        <f>'Mail merge'!AE33</f>
        <v/>
      </c>
      <c r="F33" s="18">
        <f>'Mail merge'!AG33</f>
        <v>0</v>
      </c>
      <c r="G33" s="19" t="str">
        <f>'Mail merge'!E33</f>
        <v/>
      </c>
      <c r="H33" s="41">
        <f>'Mail merge'!R33</f>
        <v>0</v>
      </c>
      <c r="I33" s="41">
        <f>'Mail merge'!S33</f>
        <v>0</v>
      </c>
      <c r="J33" s="19" t="str">
        <f>'Mail merge'!AH33</f>
        <v>KRCE</v>
      </c>
      <c r="K33" s="41">
        <f>'Mail merge'!AM33</f>
        <v>0</v>
      </c>
      <c r="L33" s="19" t="str">
        <f>'Mail merge'!AN33</f>
        <v/>
      </c>
      <c r="M33" s="19" t="str">
        <f>'Mail merge'!AO33</f>
        <v/>
      </c>
      <c r="N33" s="20" t="e">
        <f>'Mail merge'!AL33</f>
        <v>#N/A</v>
      </c>
      <c r="O33" s="20">
        <v>0</v>
      </c>
      <c r="P33" s="20">
        <v>0</v>
      </c>
      <c r="Q33" s="20" t="e">
        <f t="shared" si="0"/>
        <v>#N/A</v>
      </c>
      <c r="R33" s="19" t="str">
        <f>'Mail merge'!AP33</f>
        <v/>
      </c>
    </row>
    <row r="34" spans="1:18" s="21" customFormat="1" ht="44.25" customHeight="1" x14ac:dyDescent="0.25">
      <c r="A34" s="35">
        <v>33</v>
      </c>
      <c r="B34" s="40">
        <f>'Mail merge'!H34</f>
        <v>0</v>
      </c>
      <c r="C34" s="66" t="s">
        <v>122</v>
      </c>
      <c r="D34" s="33">
        <f>'Mail merge'!AD34</f>
        <v>0</v>
      </c>
      <c r="E34" s="34" t="str">
        <f>'Mail merge'!AE34</f>
        <v/>
      </c>
      <c r="F34" s="18">
        <f>'Mail merge'!AG34</f>
        <v>0</v>
      </c>
      <c r="G34" s="19" t="str">
        <f>'Mail merge'!E34</f>
        <v/>
      </c>
      <c r="H34" s="41">
        <f>'Mail merge'!R34</f>
        <v>0</v>
      </c>
      <c r="I34" s="41">
        <f>'Mail merge'!S34</f>
        <v>0</v>
      </c>
      <c r="J34" s="19" t="str">
        <f>'Mail merge'!AH34</f>
        <v>KRCE</v>
      </c>
      <c r="K34" s="41">
        <f>'Mail merge'!AM34</f>
        <v>0</v>
      </c>
      <c r="L34" s="19" t="str">
        <f>'Mail merge'!AN34</f>
        <v/>
      </c>
      <c r="M34" s="19" t="str">
        <f>'Mail merge'!AO34</f>
        <v/>
      </c>
      <c r="N34" s="20" t="e">
        <f>'Mail merge'!AL34</f>
        <v>#N/A</v>
      </c>
      <c r="O34" s="20">
        <v>0</v>
      </c>
      <c r="P34" s="20">
        <v>0</v>
      </c>
      <c r="Q34" s="20" t="e">
        <f t="shared" si="0"/>
        <v>#N/A</v>
      </c>
      <c r="R34" s="19" t="str">
        <f>'Mail merge'!AP34</f>
        <v/>
      </c>
    </row>
    <row r="35" spans="1:18" s="21" customFormat="1" ht="44.25" customHeight="1" x14ac:dyDescent="0.25">
      <c r="A35" s="35">
        <v>34</v>
      </c>
      <c r="B35" s="40">
        <f>'Mail merge'!H35</f>
        <v>0</v>
      </c>
      <c r="C35" s="66" t="s">
        <v>122</v>
      </c>
      <c r="D35" s="33">
        <f>'Mail merge'!AD35</f>
        <v>0</v>
      </c>
      <c r="E35" s="34" t="str">
        <f>'Mail merge'!AE35</f>
        <v/>
      </c>
      <c r="F35" s="18">
        <f>'Mail merge'!AG35</f>
        <v>0</v>
      </c>
      <c r="G35" s="19" t="str">
        <f>'Mail merge'!E35</f>
        <v/>
      </c>
      <c r="H35" s="41">
        <f>'Mail merge'!R35</f>
        <v>0</v>
      </c>
      <c r="I35" s="41">
        <f>'Mail merge'!S35</f>
        <v>0</v>
      </c>
      <c r="J35" s="19" t="str">
        <f>'Mail merge'!AH35</f>
        <v>KRCE</v>
      </c>
      <c r="K35" s="41">
        <f>'Mail merge'!AM35</f>
        <v>0</v>
      </c>
      <c r="L35" s="19" t="str">
        <f>'Mail merge'!AN35</f>
        <v/>
      </c>
      <c r="M35" s="19" t="str">
        <f>'Mail merge'!AO35</f>
        <v/>
      </c>
      <c r="N35" s="20" t="e">
        <f>'Mail merge'!AL35</f>
        <v>#N/A</v>
      </c>
      <c r="O35" s="20">
        <v>0</v>
      </c>
      <c r="P35" s="20">
        <v>0</v>
      </c>
      <c r="Q35" s="20" t="e">
        <f t="shared" si="0"/>
        <v>#N/A</v>
      </c>
      <c r="R35" s="19" t="str">
        <f>'Mail merge'!AP35</f>
        <v/>
      </c>
    </row>
    <row r="36" spans="1:18" s="21" customFormat="1" ht="44.25" customHeight="1" x14ac:dyDescent="0.25">
      <c r="A36" s="35">
        <v>35</v>
      </c>
      <c r="B36" s="40">
        <f>'Mail merge'!H36</f>
        <v>0</v>
      </c>
      <c r="C36" s="66" t="s">
        <v>122</v>
      </c>
      <c r="D36" s="33">
        <f>'Mail merge'!AD36</f>
        <v>0</v>
      </c>
      <c r="E36" s="34" t="str">
        <f>'Mail merge'!AE36</f>
        <v/>
      </c>
      <c r="F36" s="18">
        <f>'Mail merge'!AG36</f>
        <v>0</v>
      </c>
      <c r="G36" s="19" t="str">
        <f>'Mail merge'!E36</f>
        <v/>
      </c>
      <c r="H36" s="41">
        <f>'Mail merge'!R36</f>
        <v>0</v>
      </c>
      <c r="I36" s="41">
        <f>'Mail merge'!S36</f>
        <v>0</v>
      </c>
      <c r="J36" s="19" t="str">
        <f>'Mail merge'!AH36</f>
        <v>KRCE</v>
      </c>
      <c r="K36" s="41">
        <f>'Mail merge'!AM36</f>
        <v>0</v>
      </c>
      <c r="L36" s="19" t="str">
        <f>'Mail merge'!AN36</f>
        <v/>
      </c>
      <c r="M36" s="19" t="str">
        <f>'Mail merge'!AO36</f>
        <v/>
      </c>
      <c r="N36" s="20" t="e">
        <f>'Mail merge'!AL36</f>
        <v>#N/A</v>
      </c>
      <c r="O36" s="20">
        <v>0</v>
      </c>
      <c r="P36" s="20">
        <v>0</v>
      </c>
      <c r="Q36" s="20" t="e">
        <f t="shared" si="0"/>
        <v>#N/A</v>
      </c>
      <c r="R36" s="19" t="str">
        <f>'Mail merge'!AP36</f>
        <v/>
      </c>
    </row>
    <row r="37" spans="1:18" s="21" customFormat="1" ht="44.25" customHeight="1" x14ac:dyDescent="0.25">
      <c r="A37" s="35">
        <v>36</v>
      </c>
      <c r="B37" s="40">
        <f>'Mail merge'!H37</f>
        <v>0</v>
      </c>
      <c r="C37" s="66" t="s">
        <v>122</v>
      </c>
      <c r="D37" s="33">
        <f>'Mail merge'!AD37</f>
        <v>0</v>
      </c>
      <c r="E37" s="34" t="str">
        <f>'Mail merge'!AE37</f>
        <v/>
      </c>
      <c r="F37" s="18">
        <f>'Mail merge'!AG37</f>
        <v>0</v>
      </c>
      <c r="G37" s="19" t="str">
        <f>'Mail merge'!E37</f>
        <v/>
      </c>
      <c r="H37" s="41">
        <f>'Mail merge'!R37</f>
        <v>0</v>
      </c>
      <c r="I37" s="41">
        <f>'Mail merge'!S37</f>
        <v>0</v>
      </c>
      <c r="J37" s="19" t="str">
        <f>'Mail merge'!AH37</f>
        <v>KRCE</v>
      </c>
      <c r="K37" s="41">
        <f>'Mail merge'!AM37</f>
        <v>0</v>
      </c>
      <c r="L37" s="19" t="str">
        <f>'Mail merge'!AN37</f>
        <v/>
      </c>
      <c r="M37" s="19" t="str">
        <f>'Mail merge'!AO37</f>
        <v/>
      </c>
      <c r="N37" s="20" t="e">
        <f>'Mail merge'!AL37</f>
        <v>#N/A</v>
      </c>
      <c r="O37" s="20">
        <v>0</v>
      </c>
      <c r="P37" s="20">
        <v>0</v>
      </c>
      <c r="Q37" s="20" t="e">
        <f t="shared" si="0"/>
        <v>#N/A</v>
      </c>
      <c r="R37" s="19" t="str">
        <f>'Mail merge'!AP37</f>
        <v/>
      </c>
    </row>
    <row r="38" spans="1:18" s="21" customFormat="1" ht="44.25" customHeight="1" x14ac:dyDescent="0.25">
      <c r="A38" s="35">
        <v>37</v>
      </c>
      <c r="B38" s="40">
        <f>'Mail merge'!H38</f>
        <v>0</v>
      </c>
      <c r="C38" s="66" t="s">
        <v>122</v>
      </c>
      <c r="D38" s="33">
        <f>'Mail merge'!AD38</f>
        <v>0</v>
      </c>
      <c r="E38" s="34" t="str">
        <f>'Mail merge'!AE38</f>
        <v/>
      </c>
      <c r="F38" s="18">
        <f>'Mail merge'!AG38</f>
        <v>0</v>
      </c>
      <c r="G38" s="19" t="str">
        <f>'Mail merge'!E38</f>
        <v/>
      </c>
      <c r="H38" s="41">
        <f>'Mail merge'!R38</f>
        <v>0</v>
      </c>
      <c r="I38" s="41">
        <f>'Mail merge'!S38</f>
        <v>0</v>
      </c>
      <c r="J38" s="19" t="str">
        <f>'Mail merge'!AH38</f>
        <v>KRCE</v>
      </c>
      <c r="K38" s="41">
        <f>'Mail merge'!AM38</f>
        <v>0</v>
      </c>
      <c r="L38" s="19" t="str">
        <f>'Mail merge'!AN38</f>
        <v/>
      </c>
      <c r="M38" s="19" t="str">
        <f>'Mail merge'!AO38</f>
        <v/>
      </c>
      <c r="N38" s="20" t="e">
        <f>'Mail merge'!AL38</f>
        <v>#N/A</v>
      </c>
      <c r="O38" s="20">
        <v>0</v>
      </c>
      <c r="P38" s="20">
        <v>0</v>
      </c>
      <c r="Q38" s="20" t="e">
        <f t="shared" si="0"/>
        <v>#N/A</v>
      </c>
      <c r="R38" s="19" t="str">
        <f>'Mail merge'!AP38</f>
        <v/>
      </c>
    </row>
    <row r="39" spans="1:18" s="21" customFormat="1" ht="44.25" customHeight="1" x14ac:dyDescent="0.25">
      <c r="A39" s="35">
        <v>38</v>
      </c>
      <c r="B39" s="40">
        <f>'Mail merge'!H39</f>
        <v>0</v>
      </c>
      <c r="C39" s="66" t="s">
        <v>122</v>
      </c>
      <c r="D39" s="33">
        <f>'Mail merge'!AD39</f>
        <v>0</v>
      </c>
      <c r="E39" s="34" t="str">
        <f>'Mail merge'!AE39</f>
        <v/>
      </c>
      <c r="F39" s="18">
        <f>'Mail merge'!AG39</f>
        <v>0</v>
      </c>
      <c r="G39" s="19" t="str">
        <f>'Mail merge'!E39</f>
        <v/>
      </c>
      <c r="H39" s="41">
        <f>'Mail merge'!R39</f>
        <v>0</v>
      </c>
      <c r="I39" s="41">
        <f>'Mail merge'!S39</f>
        <v>0</v>
      </c>
      <c r="J39" s="19" t="str">
        <f>'Mail merge'!AH39</f>
        <v>KRCE</v>
      </c>
      <c r="K39" s="41">
        <f>'Mail merge'!AM39</f>
        <v>0</v>
      </c>
      <c r="L39" s="19" t="str">
        <f>'Mail merge'!AN39</f>
        <v/>
      </c>
      <c r="M39" s="19" t="str">
        <f>'Mail merge'!AO39</f>
        <v/>
      </c>
      <c r="N39" s="20" t="e">
        <f>'Mail merge'!AL39</f>
        <v>#N/A</v>
      </c>
      <c r="O39" s="20">
        <v>0</v>
      </c>
      <c r="P39" s="20">
        <v>0</v>
      </c>
      <c r="Q39" s="20" t="e">
        <f t="shared" si="0"/>
        <v>#N/A</v>
      </c>
      <c r="R39" s="19" t="str">
        <f>'Mail merge'!AP39</f>
        <v/>
      </c>
    </row>
    <row r="40" spans="1:18" s="21" customFormat="1" ht="44.25" customHeight="1" x14ac:dyDescent="0.25">
      <c r="A40" s="35">
        <v>39</v>
      </c>
      <c r="B40" s="40">
        <f>'Mail merge'!H40</f>
        <v>0</v>
      </c>
      <c r="C40" s="66" t="s">
        <v>122</v>
      </c>
      <c r="D40" s="33">
        <f>'Mail merge'!AD40</f>
        <v>0</v>
      </c>
      <c r="E40" s="34" t="str">
        <f>'Mail merge'!AE40</f>
        <v/>
      </c>
      <c r="F40" s="18">
        <f>'Mail merge'!AG40</f>
        <v>0</v>
      </c>
      <c r="G40" s="19" t="str">
        <f>'Mail merge'!E40</f>
        <v/>
      </c>
      <c r="H40" s="41">
        <f>'Mail merge'!R40</f>
        <v>0</v>
      </c>
      <c r="I40" s="41">
        <f>'Mail merge'!S40</f>
        <v>0</v>
      </c>
      <c r="J40" s="19" t="str">
        <f>'Mail merge'!AH40</f>
        <v>KRCE</v>
      </c>
      <c r="K40" s="41">
        <f>'Mail merge'!AM40</f>
        <v>0</v>
      </c>
      <c r="L40" s="19" t="str">
        <f>'Mail merge'!AN40</f>
        <v/>
      </c>
      <c r="M40" s="19" t="str">
        <f>'Mail merge'!AO40</f>
        <v/>
      </c>
      <c r="N40" s="20" t="e">
        <f>'Mail merge'!AL40</f>
        <v>#N/A</v>
      </c>
      <c r="O40" s="20">
        <v>0</v>
      </c>
      <c r="P40" s="20">
        <v>0</v>
      </c>
      <c r="Q40" s="20" t="e">
        <f t="shared" si="0"/>
        <v>#N/A</v>
      </c>
      <c r="R40" s="19" t="str">
        <f>'Mail merge'!AP40</f>
        <v/>
      </c>
    </row>
    <row r="41" spans="1:18" s="21" customFormat="1" ht="44.25" customHeight="1" x14ac:dyDescent="0.25">
      <c r="A41" s="35">
        <v>40</v>
      </c>
      <c r="B41" s="40">
        <f>'Mail merge'!H41</f>
        <v>0</v>
      </c>
      <c r="C41" s="66" t="s">
        <v>122</v>
      </c>
      <c r="D41" s="33">
        <f>'Mail merge'!AD41</f>
        <v>0</v>
      </c>
      <c r="E41" s="34" t="str">
        <f>'Mail merge'!AE41</f>
        <v/>
      </c>
      <c r="F41" s="18">
        <f>'Mail merge'!AG41</f>
        <v>0</v>
      </c>
      <c r="G41" s="19" t="str">
        <f>'Mail merge'!E41</f>
        <v/>
      </c>
      <c r="H41" s="41">
        <f>'Mail merge'!R41</f>
        <v>0</v>
      </c>
      <c r="I41" s="41">
        <f>'Mail merge'!S41</f>
        <v>0</v>
      </c>
      <c r="J41" s="19" t="str">
        <f>'Mail merge'!AH41</f>
        <v>KRCE</v>
      </c>
      <c r="K41" s="41">
        <f>'Mail merge'!AM41</f>
        <v>0</v>
      </c>
      <c r="L41" s="19" t="str">
        <f>'Mail merge'!AN41</f>
        <v/>
      </c>
      <c r="M41" s="19" t="str">
        <f>'Mail merge'!AO41</f>
        <v/>
      </c>
      <c r="N41" s="20" t="e">
        <f>'Mail merge'!AL41</f>
        <v>#N/A</v>
      </c>
      <c r="O41" s="20">
        <v>0</v>
      </c>
      <c r="P41" s="20">
        <v>0</v>
      </c>
      <c r="Q41" s="20" t="e">
        <f t="shared" si="0"/>
        <v>#N/A</v>
      </c>
      <c r="R41" s="19" t="str">
        <f>'Mail merge'!AP41</f>
        <v/>
      </c>
    </row>
    <row r="42" spans="1:18" s="21" customFormat="1" ht="44.25" customHeight="1" x14ac:dyDescent="0.25">
      <c r="A42" s="35"/>
      <c r="B42" s="40"/>
      <c r="C42" s="66"/>
      <c r="D42" s="33"/>
      <c r="E42" s="34"/>
      <c r="F42" s="19"/>
      <c r="G42" s="19"/>
      <c r="H42" s="41"/>
      <c r="I42" s="41"/>
      <c r="J42" s="19"/>
      <c r="K42" s="41"/>
      <c r="L42" s="19"/>
      <c r="M42" s="19"/>
      <c r="N42" s="20"/>
      <c r="O42" s="20"/>
      <c r="P42" s="20"/>
      <c r="Q42" s="20"/>
      <c r="R42" s="19"/>
    </row>
    <row r="43" spans="1:18" x14ac:dyDescent="0.2">
      <c r="L43" s="21"/>
      <c r="M43" s="21"/>
      <c r="R43" s="21"/>
    </row>
  </sheetData>
  <mergeCells count="1">
    <mergeCell ref="D1:E1"/>
  </mergeCells>
  <pageMargins left="0.35433070866141736" right="0.19685039370078741" top="0.39370078740157483" bottom="0.39370078740157483" header="0.35433070866141736" footer="0.47244094488188981"/>
  <pageSetup paperSize="8" scale="7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B0F0"/>
  </sheetPr>
  <dimension ref="A1:R76"/>
  <sheetViews>
    <sheetView zoomScale="70" zoomScaleNormal="70" zoomScaleSheetLayoutView="70" workbookViewId="0">
      <selection activeCell="A2" sqref="A2:R2"/>
    </sheetView>
  </sheetViews>
  <sheetFormatPr defaultColWidth="9.140625" defaultRowHeight="15.75" x14ac:dyDescent="0.2"/>
  <cols>
    <col min="1" max="1" width="6.85546875" style="29" customWidth="1"/>
    <col min="2" max="2" width="15.5703125" style="22" customWidth="1"/>
    <col min="3" max="3" width="23.42578125" style="21" customWidth="1"/>
    <col min="4" max="4" width="7" style="30" customWidth="1"/>
    <col min="5" max="5" width="31" style="21" customWidth="1"/>
    <col min="6" max="6" width="14.85546875" style="21" customWidth="1"/>
    <col min="7" max="7" width="13.85546875" style="23" customWidth="1"/>
    <col min="8" max="8" width="11.28515625" style="21" customWidth="1"/>
    <col min="9" max="9" width="10.85546875" style="21" customWidth="1"/>
    <col min="10" max="10" width="41" style="21" customWidth="1"/>
    <col min="11" max="11" width="24.42578125" style="21" customWidth="1"/>
    <col min="12" max="12" width="27.140625" style="24" customWidth="1"/>
    <col min="13" max="13" width="18.28515625" style="24" customWidth="1"/>
    <col min="14" max="16" width="10" style="21" customWidth="1"/>
    <col min="17" max="17" width="14.7109375" style="21" customWidth="1"/>
    <col min="18" max="18" width="18.28515625" style="24" customWidth="1"/>
    <col min="19" max="16384" width="9.140625" style="14"/>
  </cols>
  <sheetData>
    <row r="1" spans="1:18" s="17" customFormat="1" ht="67.5" customHeight="1" x14ac:dyDescent="0.25">
      <c r="A1" s="31" t="s">
        <v>302</v>
      </c>
      <c r="B1" s="32" t="s">
        <v>303</v>
      </c>
      <c r="C1" s="15" t="s">
        <v>304</v>
      </c>
      <c r="D1" s="160" t="s">
        <v>305</v>
      </c>
      <c r="E1" s="161"/>
      <c r="F1" s="15" t="s">
        <v>318</v>
      </c>
      <c r="G1" s="15" t="s">
        <v>306</v>
      </c>
      <c r="H1" s="15" t="s">
        <v>319</v>
      </c>
      <c r="I1" s="15" t="s">
        <v>320</v>
      </c>
      <c r="J1" s="15" t="s">
        <v>307</v>
      </c>
      <c r="K1" s="15" t="s">
        <v>308</v>
      </c>
      <c r="L1" s="16" t="s">
        <v>309</v>
      </c>
      <c r="M1" s="16" t="s">
        <v>310</v>
      </c>
      <c r="N1" s="15" t="s">
        <v>311</v>
      </c>
      <c r="O1" s="15" t="s">
        <v>117</v>
      </c>
      <c r="P1" s="15" t="s">
        <v>120</v>
      </c>
      <c r="Q1" s="15" t="s">
        <v>312</v>
      </c>
      <c r="R1" s="16" t="s">
        <v>396</v>
      </c>
    </row>
    <row r="2" spans="1:18" s="21" customFormat="1" ht="44.25" customHeight="1" x14ac:dyDescent="0.25">
      <c r="A2" s="35">
        <v>1</v>
      </c>
      <c r="B2" s="40" t="str">
        <f>'Mail merge'!H2</f>
        <v>06.06.2026</v>
      </c>
      <c r="C2" s="66" t="s">
        <v>123</v>
      </c>
      <c r="D2" s="33" t="str">
        <f>'Mail merge'!AS2</f>
        <v>Mrs.</v>
      </c>
      <c r="E2" s="34" t="str">
        <f>'Mail merge'!AT2</f>
        <v>SURYA G</v>
      </c>
      <c r="F2" s="18" t="str">
        <f>'Mail merge'!AV2</f>
        <v>CSE</v>
      </c>
      <c r="G2" s="19" t="str">
        <f>'Mail merge'!E2</f>
        <v>GEA1107</v>
      </c>
      <c r="H2" s="41">
        <f>'Mail merge'!R2</f>
        <v>23</v>
      </c>
      <c r="I2" s="41">
        <f>'Mail merge'!S2</f>
        <v>22</v>
      </c>
      <c r="J2" s="19" t="str">
        <f>'Mail merge'!AW2</f>
        <v>KRCE</v>
      </c>
      <c r="K2" s="41" t="str">
        <f>'Mail merge'!BB2</f>
        <v>609301501667</v>
      </c>
      <c r="L2" s="19" t="str">
        <f>'Mail merge'!BC2</f>
        <v>ICICI BANK</v>
      </c>
      <c r="M2" s="19" t="str">
        <f>'Mail merge'!BD2</f>
        <v>ICIC0006093</v>
      </c>
      <c r="N2" s="20">
        <f>'Mail merge'!BA2</f>
        <v>230</v>
      </c>
      <c r="O2" s="20">
        <v>0</v>
      </c>
      <c r="P2" s="20">
        <v>0</v>
      </c>
      <c r="Q2" s="20">
        <f>N2+O2+P2</f>
        <v>230</v>
      </c>
      <c r="R2" s="19" t="str">
        <f>'Mail merge'!BE2</f>
        <v>JAWAHAR STREET NACHANDUPATTI</v>
      </c>
    </row>
    <row r="3" spans="1:18" s="21" customFormat="1" ht="39.75" customHeight="1" x14ac:dyDescent="0.25">
      <c r="A3" s="35">
        <v>2</v>
      </c>
      <c r="B3" s="40">
        <f>'Mail merge'!H3</f>
        <v>0</v>
      </c>
      <c r="C3" s="66" t="s">
        <v>123</v>
      </c>
      <c r="D3" s="33" t="str">
        <f>'Mail merge'!AS3</f>
        <v/>
      </c>
      <c r="E3" s="34" t="str">
        <f>'Mail merge'!AT3</f>
        <v xml:space="preserve">  -NA-  </v>
      </c>
      <c r="F3" s="18" t="str">
        <f>'Mail merge'!AV3</f>
        <v xml:space="preserve">  -NA-  </v>
      </c>
      <c r="G3" s="19" t="str">
        <f>'Mail merge'!E3</f>
        <v/>
      </c>
      <c r="H3" s="41">
        <f>'Mail merge'!R3</f>
        <v>0</v>
      </c>
      <c r="I3" s="41">
        <f>'Mail merge'!S3</f>
        <v>0</v>
      </c>
      <c r="J3" s="19" t="str">
        <f>'Mail merge'!AW3</f>
        <v xml:space="preserve">  -NA-  </v>
      </c>
      <c r="K3" s="41" t="str">
        <f>'Mail merge'!BB3</f>
        <v xml:space="preserve">  -NA-  </v>
      </c>
      <c r="L3" s="19" t="str">
        <f>'Mail merge'!BC3</f>
        <v xml:space="preserve">  -NA-  </v>
      </c>
      <c r="M3" s="19" t="str">
        <f>'Mail merge'!BD3</f>
        <v xml:space="preserve">  -NA-  </v>
      </c>
      <c r="N3" s="20" t="str">
        <f>'Mail merge'!BA3</f>
        <v xml:space="preserve">  -NA-  </v>
      </c>
      <c r="O3" s="20">
        <v>0</v>
      </c>
      <c r="P3" s="20">
        <v>0</v>
      </c>
      <c r="Q3" s="20" t="e">
        <f t="shared" ref="Q3:Q27" si="0">N3+O3+P3</f>
        <v>#VALUE!</v>
      </c>
      <c r="R3" s="19" t="str">
        <f>'Mail merge'!BE3</f>
        <v xml:space="preserve">  -NA-  </v>
      </c>
    </row>
    <row r="4" spans="1:18" s="21" customFormat="1" ht="39.75" customHeight="1" x14ac:dyDescent="0.25">
      <c r="A4" s="35">
        <v>3</v>
      </c>
      <c r="B4" s="40">
        <f>'Mail merge'!H4</f>
        <v>0</v>
      </c>
      <c r="C4" s="66" t="s">
        <v>123</v>
      </c>
      <c r="D4" s="33" t="str">
        <f>'Mail merge'!AS4</f>
        <v/>
      </c>
      <c r="E4" s="34" t="str">
        <f>'Mail merge'!AT4</f>
        <v xml:space="preserve">  -NA-  </v>
      </c>
      <c r="F4" s="18" t="str">
        <f>'Mail merge'!AV4</f>
        <v xml:space="preserve">  -NA-  </v>
      </c>
      <c r="G4" s="19" t="str">
        <f>'Mail merge'!E4</f>
        <v/>
      </c>
      <c r="H4" s="41">
        <f>'Mail merge'!R4</f>
        <v>0</v>
      </c>
      <c r="I4" s="41">
        <f>'Mail merge'!S4</f>
        <v>0</v>
      </c>
      <c r="J4" s="19" t="str">
        <f>'Mail merge'!AW4</f>
        <v xml:space="preserve">  -NA-  </v>
      </c>
      <c r="K4" s="41" t="str">
        <f>'Mail merge'!BB4</f>
        <v xml:space="preserve">  -NA-  </v>
      </c>
      <c r="L4" s="19" t="str">
        <f>'Mail merge'!BC4</f>
        <v xml:space="preserve">  -NA-  </v>
      </c>
      <c r="M4" s="19" t="str">
        <f>'Mail merge'!BD4</f>
        <v xml:space="preserve">  -NA-  </v>
      </c>
      <c r="N4" s="20" t="str">
        <f>'Mail merge'!BA4</f>
        <v xml:space="preserve">  -NA-  </v>
      </c>
      <c r="O4" s="20">
        <v>0</v>
      </c>
      <c r="P4" s="20">
        <v>0</v>
      </c>
      <c r="Q4" s="20" t="e">
        <f t="shared" si="0"/>
        <v>#VALUE!</v>
      </c>
      <c r="R4" s="19" t="str">
        <f>'Mail merge'!BE4</f>
        <v xml:space="preserve">  -NA-  </v>
      </c>
    </row>
    <row r="5" spans="1:18" s="21" customFormat="1" ht="39.75" customHeight="1" x14ac:dyDescent="0.25">
      <c r="A5" s="35">
        <v>4</v>
      </c>
      <c r="B5" s="40">
        <f>'Mail merge'!H5</f>
        <v>0</v>
      </c>
      <c r="C5" s="66" t="s">
        <v>123</v>
      </c>
      <c r="D5" s="33" t="str">
        <f>'Mail merge'!AS5</f>
        <v/>
      </c>
      <c r="E5" s="34" t="str">
        <f>'Mail merge'!AT5</f>
        <v xml:space="preserve">  -NA-  </v>
      </c>
      <c r="F5" s="18" t="str">
        <f>'Mail merge'!AV5</f>
        <v xml:space="preserve">  -NA-  </v>
      </c>
      <c r="G5" s="19" t="str">
        <f>'Mail merge'!E5</f>
        <v/>
      </c>
      <c r="H5" s="41">
        <f>'Mail merge'!R5</f>
        <v>0</v>
      </c>
      <c r="I5" s="41">
        <f>'Mail merge'!S5</f>
        <v>0</v>
      </c>
      <c r="J5" s="19" t="str">
        <f>'Mail merge'!AW5</f>
        <v xml:space="preserve">  -NA-  </v>
      </c>
      <c r="K5" s="41" t="str">
        <f>'Mail merge'!BB5</f>
        <v xml:space="preserve">  -NA-  </v>
      </c>
      <c r="L5" s="19" t="str">
        <f>'Mail merge'!BC5</f>
        <v xml:space="preserve">  -NA-  </v>
      </c>
      <c r="M5" s="19" t="str">
        <f>'Mail merge'!BD5</f>
        <v xml:space="preserve">  -NA-  </v>
      </c>
      <c r="N5" s="20" t="str">
        <f>'Mail merge'!BA5</f>
        <v xml:space="preserve">  -NA-  </v>
      </c>
      <c r="O5" s="20">
        <v>0</v>
      </c>
      <c r="P5" s="20">
        <v>0</v>
      </c>
      <c r="Q5" s="20" t="e">
        <f t="shared" si="0"/>
        <v>#VALUE!</v>
      </c>
      <c r="R5" s="19" t="str">
        <f>'Mail merge'!BE5</f>
        <v xml:space="preserve">  -NA-  </v>
      </c>
    </row>
    <row r="6" spans="1:18" s="21" customFormat="1" ht="39.75" customHeight="1" x14ac:dyDescent="0.25">
      <c r="A6" s="35">
        <v>5</v>
      </c>
      <c r="B6" s="40">
        <f>'Mail merge'!H6</f>
        <v>0</v>
      </c>
      <c r="C6" s="66" t="s">
        <v>123</v>
      </c>
      <c r="D6" s="33" t="str">
        <f>'Mail merge'!AS6</f>
        <v/>
      </c>
      <c r="E6" s="34" t="str">
        <f>'Mail merge'!AT6</f>
        <v xml:space="preserve">  -NA-  </v>
      </c>
      <c r="F6" s="18" t="str">
        <f>'Mail merge'!AV6</f>
        <v xml:space="preserve">  -NA-  </v>
      </c>
      <c r="G6" s="19" t="str">
        <f>'Mail merge'!E6</f>
        <v/>
      </c>
      <c r="H6" s="41">
        <f>'Mail merge'!R6</f>
        <v>0</v>
      </c>
      <c r="I6" s="41">
        <f>'Mail merge'!S6</f>
        <v>0</v>
      </c>
      <c r="J6" s="19" t="str">
        <f>'Mail merge'!AW6</f>
        <v xml:space="preserve">  -NA-  </v>
      </c>
      <c r="K6" s="41" t="str">
        <f>'Mail merge'!BB6</f>
        <v xml:space="preserve">  -NA-  </v>
      </c>
      <c r="L6" s="19" t="str">
        <f>'Mail merge'!BC6</f>
        <v xml:space="preserve">  -NA-  </v>
      </c>
      <c r="M6" s="19" t="str">
        <f>'Mail merge'!BD6</f>
        <v xml:space="preserve">  -NA-  </v>
      </c>
      <c r="N6" s="20" t="str">
        <f>'Mail merge'!BA6</f>
        <v xml:space="preserve">  -NA-  </v>
      </c>
      <c r="O6" s="20">
        <v>0</v>
      </c>
      <c r="P6" s="20">
        <v>0</v>
      </c>
      <c r="Q6" s="20" t="e">
        <f t="shared" si="0"/>
        <v>#VALUE!</v>
      </c>
      <c r="R6" s="19" t="str">
        <f>'Mail merge'!BE6</f>
        <v xml:space="preserve">  -NA-  </v>
      </c>
    </row>
    <row r="7" spans="1:18" s="21" customFormat="1" ht="44.25" customHeight="1" x14ac:dyDescent="0.25">
      <c r="A7" s="35">
        <v>6</v>
      </c>
      <c r="B7" s="40">
        <f>'Mail merge'!H7</f>
        <v>0</v>
      </c>
      <c r="C7" s="66" t="s">
        <v>123</v>
      </c>
      <c r="D7" s="33" t="str">
        <f>'Mail merge'!AS7</f>
        <v/>
      </c>
      <c r="E7" s="34" t="str">
        <f>'Mail merge'!AT7</f>
        <v xml:space="preserve">  -NA-  </v>
      </c>
      <c r="F7" s="18" t="str">
        <f>'Mail merge'!AV7</f>
        <v xml:space="preserve">  -NA-  </v>
      </c>
      <c r="G7" s="19" t="str">
        <f>'Mail merge'!E7</f>
        <v/>
      </c>
      <c r="H7" s="41">
        <f>'Mail merge'!R7</f>
        <v>0</v>
      </c>
      <c r="I7" s="41">
        <f>'Mail merge'!S7</f>
        <v>0</v>
      </c>
      <c r="J7" s="19" t="str">
        <f>'Mail merge'!AW7</f>
        <v xml:space="preserve">  -NA-  </v>
      </c>
      <c r="K7" s="41" t="str">
        <f>'Mail merge'!BB7</f>
        <v xml:space="preserve">  -NA-  </v>
      </c>
      <c r="L7" s="19" t="str">
        <f>'Mail merge'!BC7</f>
        <v xml:space="preserve">  -NA-  </v>
      </c>
      <c r="M7" s="19" t="str">
        <f>'Mail merge'!BD7</f>
        <v xml:space="preserve">  -NA-  </v>
      </c>
      <c r="N7" s="20" t="str">
        <f>'Mail merge'!BA7</f>
        <v xml:space="preserve">  -NA-  </v>
      </c>
      <c r="O7" s="20">
        <v>0</v>
      </c>
      <c r="P7" s="20">
        <v>0</v>
      </c>
      <c r="Q7" s="20" t="e">
        <f t="shared" si="0"/>
        <v>#VALUE!</v>
      </c>
      <c r="R7" s="19" t="str">
        <f>'Mail merge'!BE7</f>
        <v xml:space="preserve">  -NA-  </v>
      </c>
    </row>
    <row r="8" spans="1:18" s="21" customFormat="1" ht="39.75" customHeight="1" x14ac:dyDescent="0.25">
      <c r="A8" s="35">
        <v>7</v>
      </c>
      <c r="B8" s="40">
        <f>'Mail merge'!H8</f>
        <v>0</v>
      </c>
      <c r="C8" s="66" t="s">
        <v>123</v>
      </c>
      <c r="D8" s="33" t="str">
        <f>'Mail merge'!AS8</f>
        <v/>
      </c>
      <c r="E8" s="34" t="str">
        <f>'Mail merge'!AT8</f>
        <v xml:space="preserve">  -NA-  </v>
      </c>
      <c r="F8" s="18" t="str">
        <f>'Mail merge'!AV8</f>
        <v xml:space="preserve">  -NA-  </v>
      </c>
      <c r="G8" s="19" t="str">
        <f>'Mail merge'!E8</f>
        <v/>
      </c>
      <c r="H8" s="41">
        <f>'Mail merge'!R8</f>
        <v>0</v>
      </c>
      <c r="I8" s="41">
        <f>'Mail merge'!S8</f>
        <v>0</v>
      </c>
      <c r="J8" s="19" t="str">
        <f>'Mail merge'!AW8</f>
        <v xml:space="preserve">  -NA-  </v>
      </c>
      <c r="K8" s="41" t="str">
        <f>'Mail merge'!BB8</f>
        <v xml:space="preserve">  -NA-  </v>
      </c>
      <c r="L8" s="19" t="str">
        <f>'Mail merge'!BC8</f>
        <v xml:space="preserve">  -NA-  </v>
      </c>
      <c r="M8" s="19" t="str">
        <f>'Mail merge'!BD8</f>
        <v xml:space="preserve">  -NA-  </v>
      </c>
      <c r="N8" s="20" t="str">
        <f>'Mail merge'!BA8</f>
        <v xml:space="preserve">  -NA-  </v>
      </c>
      <c r="O8" s="20">
        <v>0</v>
      </c>
      <c r="P8" s="20">
        <v>0</v>
      </c>
      <c r="Q8" s="20" t="e">
        <f t="shared" si="0"/>
        <v>#VALUE!</v>
      </c>
      <c r="R8" s="19" t="str">
        <f>'Mail merge'!BE8</f>
        <v xml:space="preserve">  -NA-  </v>
      </c>
    </row>
    <row r="9" spans="1:18" s="21" customFormat="1" ht="44.25" customHeight="1" x14ac:dyDescent="0.25">
      <c r="A9" s="35">
        <v>8</v>
      </c>
      <c r="B9" s="40">
        <f>'Mail merge'!H9</f>
        <v>0</v>
      </c>
      <c r="C9" s="66" t="s">
        <v>123</v>
      </c>
      <c r="D9" s="33" t="str">
        <f>'Mail merge'!AS9</f>
        <v/>
      </c>
      <c r="E9" s="34" t="str">
        <f>'Mail merge'!AT9</f>
        <v xml:space="preserve">  -NA-  </v>
      </c>
      <c r="F9" s="18" t="str">
        <f>'Mail merge'!AV9</f>
        <v xml:space="preserve">  -NA-  </v>
      </c>
      <c r="G9" s="19" t="str">
        <f>'Mail merge'!E9</f>
        <v/>
      </c>
      <c r="H9" s="41">
        <f>'Mail merge'!R9</f>
        <v>0</v>
      </c>
      <c r="I9" s="41">
        <f>'Mail merge'!S9</f>
        <v>0</v>
      </c>
      <c r="J9" s="19" t="str">
        <f>'Mail merge'!AW9</f>
        <v xml:space="preserve">  -NA-  </v>
      </c>
      <c r="K9" s="41" t="str">
        <f>'Mail merge'!BB9</f>
        <v xml:space="preserve">  -NA-  </v>
      </c>
      <c r="L9" s="19" t="str">
        <f>'Mail merge'!BC9</f>
        <v xml:space="preserve">  -NA-  </v>
      </c>
      <c r="M9" s="19" t="str">
        <f>'Mail merge'!BD9</f>
        <v xml:space="preserve">  -NA-  </v>
      </c>
      <c r="N9" s="20" t="str">
        <f>'Mail merge'!BA9</f>
        <v xml:space="preserve">  -NA-  </v>
      </c>
      <c r="O9" s="20">
        <v>0</v>
      </c>
      <c r="P9" s="20">
        <v>0</v>
      </c>
      <c r="Q9" s="20" t="e">
        <f t="shared" si="0"/>
        <v>#VALUE!</v>
      </c>
      <c r="R9" s="19" t="str">
        <f>'Mail merge'!BE9</f>
        <v xml:space="preserve">  -NA-  </v>
      </c>
    </row>
    <row r="10" spans="1:18" s="21" customFormat="1" ht="39.75" customHeight="1" x14ac:dyDescent="0.25">
      <c r="A10" s="35">
        <v>9</v>
      </c>
      <c r="B10" s="40">
        <f>'Mail merge'!H10</f>
        <v>0</v>
      </c>
      <c r="C10" s="66" t="s">
        <v>123</v>
      </c>
      <c r="D10" s="33" t="str">
        <f>'Mail merge'!AS10</f>
        <v/>
      </c>
      <c r="E10" s="34" t="str">
        <f>'Mail merge'!AT10</f>
        <v xml:space="preserve">  -NA-  </v>
      </c>
      <c r="F10" s="18" t="str">
        <f>'Mail merge'!AV10</f>
        <v xml:space="preserve">  -NA-  </v>
      </c>
      <c r="G10" s="19" t="str">
        <f>'Mail merge'!E10</f>
        <v/>
      </c>
      <c r="H10" s="41">
        <f>'Mail merge'!R10</f>
        <v>0</v>
      </c>
      <c r="I10" s="41">
        <f>'Mail merge'!S10</f>
        <v>0</v>
      </c>
      <c r="J10" s="19" t="str">
        <f>'Mail merge'!AW10</f>
        <v xml:space="preserve">  -NA-  </v>
      </c>
      <c r="K10" s="41" t="str">
        <f>'Mail merge'!BB10</f>
        <v xml:space="preserve">  -NA-  </v>
      </c>
      <c r="L10" s="19" t="str">
        <f>'Mail merge'!BC10</f>
        <v xml:space="preserve">  -NA-  </v>
      </c>
      <c r="M10" s="19" t="str">
        <f>'Mail merge'!BD10</f>
        <v xml:space="preserve">  -NA-  </v>
      </c>
      <c r="N10" s="20" t="str">
        <f>'Mail merge'!BA10</f>
        <v xml:space="preserve">  -NA-  </v>
      </c>
      <c r="O10" s="20">
        <v>0</v>
      </c>
      <c r="P10" s="20">
        <v>0</v>
      </c>
      <c r="Q10" s="20" t="e">
        <f t="shared" si="0"/>
        <v>#VALUE!</v>
      </c>
      <c r="R10" s="19" t="str">
        <f>'Mail merge'!BE10</f>
        <v xml:space="preserve">  -NA-  </v>
      </c>
    </row>
    <row r="11" spans="1:18" s="21" customFormat="1" ht="39.75" customHeight="1" x14ac:dyDescent="0.25">
      <c r="A11" s="35">
        <v>10</v>
      </c>
      <c r="B11" s="40">
        <f>'Mail merge'!H11</f>
        <v>0</v>
      </c>
      <c r="C11" s="66" t="s">
        <v>123</v>
      </c>
      <c r="D11" s="33" t="str">
        <f>'Mail merge'!AS11</f>
        <v/>
      </c>
      <c r="E11" s="34" t="str">
        <f>'Mail merge'!AT11</f>
        <v xml:space="preserve">  -NA-  </v>
      </c>
      <c r="F11" s="18" t="str">
        <f>'Mail merge'!AV11</f>
        <v xml:space="preserve">  -NA-  </v>
      </c>
      <c r="G11" s="19" t="str">
        <f>'Mail merge'!E11</f>
        <v/>
      </c>
      <c r="H11" s="41">
        <f>'Mail merge'!R11</f>
        <v>0</v>
      </c>
      <c r="I11" s="41">
        <f>'Mail merge'!S11</f>
        <v>0</v>
      </c>
      <c r="J11" s="19" t="str">
        <f>'Mail merge'!AW11</f>
        <v xml:space="preserve">  -NA-  </v>
      </c>
      <c r="K11" s="41" t="str">
        <f>'Mail merge'!BB11</f>
        <v xml:space="preserve">  -NA-  </v>
      </c>
      <c r="L11" s="19" t="str">
        <f>'Mail merge'!BC11</f>
        <v xml:space="preserve">  -NA-  </v>
      </c>
      <c r="M11" s="19" t="str">
        <f>'Mail merge'!BD11</f>
        <v xml:space="preserve">  -NA-  </v>
      </c>
      <c r="N11" s="20" t="str">
        <f>'Mail merge'!BA11</f>
        <v xml:space="preserve">  -NA-  </v>
      </c>
      <c r="O11" s="20">
        <v>0</v>
      </c>
      <c r="P11" s="20">
        <v>0</v>
      </c>
      <c r="Q11" s="20" t="e">
        <f t="shared" si="0"/>
        <v>#VALUE!</v>
      </c>
      <c r="R11" s="19" t="str">
        <f>'Mail merge'!BE11</f>
        <v xml:space="preserve">  -NA-  </v>
      </c>
    </row>
    <row r="12" spans="1:18" s="21" customFormat="1" ht="44.25" customHeight="1" x14ac:dyDescent="0.25">
      <c r="A12" s="35">
        <v>11</v>
      </c>
      <c r="B12" s="40">
        <f>'Mail merge'!H12</f>
        <v>0</v>
      </c>
      <c r="C12" s="66" t="s">
        <v>123</v>
      </c>
      <c r="D12" s="33" t="str">
        <f>'Mail merge'!AS12</f>
        <v/>
      </c>
      <c r="E12" s="34" t="str">
        <f>'Mail merge'!AT12</f>
        <v xml:space="preserve">  -NA-  </v>
      </c>
      <c r="F12" s="18" t="str">
        <f>'Mail merge'!AV12</f>
        <v xml:space="preserve">  -NA-  </v>
      </c>
      <c r="G12" s="19" t="str">
        <f>'Mail merge'!E12</f>
        <v/>
      </c>
      <c r="H12" s="41">
        <f>'Mail merge'!R12</f>
        <v>0</v>
      </c>
      <c r="I12" s="41">
        <f>'Mail merge'!S12</f>
        <v>0</v>
      </c>
      <c r="J12" s="19" t="str">
        <f>'Mail merge'!AW12</f>
        <v xml:space="preserve">  -NA-  </v>
      </c>
      <c r="K12" s="41" t="str">
        <f>'Mail merge'!BB12</f>
        <v xml:space="preserve">  -NA-  </v>
      </c>
      <c r="L12" s="19" t="str">
        <f>'Mail merge'!BC12</f>
        <v xml:space="preserve">  -NA-  </v>
      </c>
      <c r="M12" s="19" t="str">
        <f>'Mail merge'!BD12</f>
        <v xml:space="preserve">  -NA-  </v>
      </c>
      <c r="N12" s="20" t="str">
        <f>'Mail merge'!BA12</f>
        <v xml:space="preserve">  -NA-  </v>
      </c>
      <c r="O12" s="20">
        <v>0</v>
      </c>
      <c r="P12" s="20">
        <v>0</v>
      </c>
      <c r="Q12" s="20" t="e">
        <f t="shared" si="0"/>
        <v>#VALUE!</v>
      </c>
      <c r="R12" s="19" t="str">
        <f>'Mail merge'!BE12</f>
        <v xml:space="preserve">  -NA-  </v>
      </c>
    </row>
    <row r="13" spans="1:18" s="21" customFormat="1" ht="44.25" customHeight="1" x14ac:dyDescent="0.25">
      <c r="A13" s="35">
        <v>12</v>
      </c>
      <c r="B13" s="40">
        <f>'Mail merge'!H13</f>
        <v>0</v>
      </c>
      <c r="C13" s="66" t="s">
        <v>123</v>
      </c>
      <c r="D13" s="33" t="str">
        <f>'Mail merge'!AS13</f>
        <v/>
      </c>
      <c r="E13" s="34" t="str">
        <f>'Mail merge'!AT13</f>
        <v xml:space="preserve">  -NA-  </v>
      </c>
      <c r="F13" s="18" t="str">
        <f>'Mail merge'!AV13</f>
        <v xml:space="preserve">  -NA-  </v>
      </c>
      <c r="G13" s="19" t="str">
        <f>'Mail merge'!E13</f>
        <v/>
      </c>
      <c r="H13" s="41">
        <f>'Mail merge'!R13</f>
        <v>0</v>
      </c>
      <c r="I13" s="41">
        <f>'Mail merge'!S13</f>
        <v>0</v>
      </c>
      <c r="J13" s="19" t="str">
        <f>'Mail merge'!AW13</f>
        <v xml:space="preserve">  -NA-  </v>
      </c>
      <c r="K13" s="41" t="str">
        <f>'Mail merge'!BB13</f>
        <v xml:space="preserve">  -NA-  </v>
      </c>
      <c r="L13" s="19" t="str">
        <f>'Mail merge'!BC13</f>
        <v xml:space="preserve">  -NA-  </v>
      </c>
      <c r="M13" s="19" t="str">
        <f>'Mail merge'!BD13</f>
        <v xml:space="preserve">  -NA-  </v>
      </c>
      <c r="N13" s="20" t="str">
        <f>'Mail merge'!BA13</f>
        <v xml:space="preserve">  -NA-  </v>
      </c>
      <c r="O13" s="20">
        <v>0</v>
      </c>
      <c r="P13" s="20">
        <v>0</v>
      </c>
      <c r="Q13" s="20" t="e">
        <f t="shared" si="0"/>
        <v>#VALUE!</v>
      </c>
      <c r="R13" s="19" t="str">
        <f>'Mail merge'!BE13</f>
        <v xml:space="preserve">  -NA-  </v>
      </c>
    </row>
    <row r="14" spans="1:18" s="21" customFormat="1" ht="39.75" customHeight="1" x14ac:dyDescent="0.25">
      <c r="A14" s="35">
        <v>13</v>
      </c>
      <c r="B14" s="40">
        <f>'Mail merge'!H14</f>
        <v>0</v>
      </c>
      <c r="C14" s="66" t="s">
        <v>123</v>
      </c>
      <c r="D14" s="33" t="str">
        <f>'Mail merge'!AS14</f>
        <v/>
      </c>
      <c r="E14" s="34" t="str">
        <f>'Mail merge'!AT14</f>
        <v xml:space="preserve">  -NA-  </v>
      </c>
      <c r="F14" s="18" t="str">
        <f>'Mail merge'!AV14</f>
        <v xml:space="preserve">  -NA-  </v>
      </c>
      <c r="G14" s="19" t="str">
        <f>'Mail merge'!E14</f>
        <v/>
      </c>
      <c r="H14" s="41">
        <f>'Mail merge'!R14</f>
        <v>0</v>
      </c>
      <c r="I14" s="41">
        <f>'Mail merge'!S14</f>
        <v>0</v>
      </c>
      <c r="J14" s="19" t="str">
        <f>'Mail merge'!AW14</f>
        <v xml:space="preserve">  -NA-  </v>
      </c>
      <c r="K14" s="41" t="str">
        <f>'Mail merge'!BB14</f>
        <v xml:space="preserve">  -NA-  </v>
      </c>
      <c r="L14" s="19" t="str">
        <f>'Mail merge'!BC14</f>
        <v xml:space="preserve">  -NA-  </v>
      </c>
      <c r="M14" s="19" t="str">
        <f>'Mail merge'!BD14</f>
        <v xml:space="preserve">  -NA-  </v>
      </c>
      <c r="N14" s="20" t="str">
        <f>'Mail merge'!BA14</f>
        <v xml:space="preserve">  -NA-  </v>
      </c>
      <c r="O14" s="20">
        <v>0</v>
      </c>
      <c r="P14" s="20">
        <v>0</v>
      </c>
      <c r="Q14" s="20" t="e">
        <f t="shared" si="0"/>
        <v>#VALUE!</v>
      </c>
      <c r="R14" s="19" t="str">
        <f>'Mail merge'!BE14</f>
        <v xml:space="preserve">  -NA-  </v>
      </c>
    </row>
    <row r="15" spans="1:18" s="21" customFormat="1" ht="39.75" customHeight="1" x14ac:dyDescent="0.25">
      <c r="A15" s="35">
        <v>14</v>
      </c>
      <c r="B15" s="40">
        <f>'Mail merge'!H15</f>
        <v>0</v>
      </c>
      <c r="C15" s="66" t="s">
        <v>123</v>
      </c>
      <c r="D15" s="33" t="str">
        <f>'Mail merge'!AS15</f>
        <v/>
      </c>
      <c r="E15" s="34" t="str">
        <f>'Mail merge'!AT15</f>
        <v xml:space="preserve">  -NA-  </v>
      </c>
      <c r="F15" s="18" t="str">
        <f>'Mail merge'!AV15</f>
        <v xml:space="preserve">  -NA-  </v>
      </c>
      <c r="G15" s="19" t="str">
        <f>'Mail merge'!E15</f>
        <v/>
      </c>
      <c r="H15" s="41">
        <f>'Mail merge'!R15</f>
        <v>0</v>
      </c>
      <c r="I15" s="41">
        <f>'Mail merge'!S15</f>
        <v>0</v>
      </c>
      <c r="J15" s="19" t="str">
        <f>'Mail merge'!AW15</f>
        <v xml:space="preserve">  -NA-  </v>
      </c>
      <c r="K15" s="41" t="str">
        <f>'Mail merge'!BB15</f>
        <v xml:space="preserve">  -NA-  </v>
      </c>
      <c r="L15" s="19" t="str">
        <f>'Mail merge'!BC15</f>
        <v xml:space="preserve">  -NA-  </v>
      </c>
      <c r="M15" s="19" t="str">
        <f>'Mail merge'!BD15</f>
        <v xml:space="preserve">  -NA-  </v>
      </c>
      <c r="N15" s="20" t="str">
        <f>'Mail merge'!BA15</f>
        <v xml:space="preserve">  -NA-  </v>
      </c>
      <c r="O15" s="20">
        <v>0</v>
      </c>
      <c r="P15" s="20">
        <v>0</v>
      </c>
      <c r="Q15" s="20" t="e">
        <f t="shared" si="0"/>
        <v>#VALUE!</v>
      </c>
      <c r="R15" s="19" t="str">
        <f>'Mail merge'!BE15</f>
        <v xml:space="preserve">  -NA-  </v>
      </c>
    </row>
    <row r="16" spans="1:18" s="21" customFormat="1" ht="39.75" customHeight="1" x14ac:dyDescent="0.25">
      <c r="A16" s="35">
        <v>15</v>
      </c>
      <c r="B16" s="40">
        <f>'Mail merge'!H16</f>
        <v>0</v>
      </c>
      <c r="C16" s="66" t="s">
        <v>123</v>
      </c>
      <c r="D16" s="33" t="str">
        <f>'Mail merge'!AS16</f>
        <v/>
      </c>
      <c r="E16" s="34" t="str">
        <f>'Mail merge'!AT16</f>
        <v xml:space="preserve">  -NA-  </v>
      </c>
      <c r="F16" s="18" t="str">
        <f>'Mail merge'!AV16</f>
        <v xml:space="preserve">  -NA-  </v>
      </c>
      <c r="G16" s="19" t="str">
        <f>'Mail merge'!E16</f>
        <v/>
      </c>
      <c r="H16" s="41">
        <f>'Mail merge'!R16</f>
        <v>0</v>
      </c>
      <c r="I16" s="41">
        <f>'Mail merge'!S16</f>
        <v>0</v>
      </c>
      <c r="J16" s="19" t="str">
        <f>'Mail merge'!AW16</f>
        <v xml:space="preserve">  -NA-  </v>
      </c>
      <c r="K16" s="41" t="str">
        <f>'Mail merge'!BB16</f>
        <v xml:space="preserve">  -NA-  </v>
      </c>
      <c r="L16" s="19" t="str">
        <f>'Mail merge'!BC16</f>
        <v xml:space="preserve">  -NA-  </v>
      </c>
      <c r="M16" s="19" t="str">
        <f>'Mail merge'!BD16</f>
        <v xml:space="preserve">  -NA-  </v>
      </c>
      <c r="N16" s="20" t="str">
        <f>'Mail merge'!BA16</f>
        <v xml:space="preserve">  -NA-  </v>
      </c>
      <c r="O16" s="20">
        <v>0</v>
      </c>
      <c r="P16" s="20">
        <v>0</v>
      </c>
      <c r="Q16" s="20" t="e">
        <f t="shared" si="0"/>
        <v>#VALUE!</v>
      </c>
      <c r="R16" s="19" t="str">
        <f>'Mail merge'!BE16</f>
        <v xml:space="preserve">  -NA-  </v>
      </c>
    </row>
    <row r="17" spans="1:18" s="21" customFormat="1" ht="39.75" customHeight="1" x14ac:dyDescent="0.25">
      <c r="A17" s="35">
        <v>16</v>
      </c>
      <c r="B17" s="40">
        <f>'Mail merge'!H17</f>
        <v>0</v>
      </c>
      <c r="C17" s="66" t="s">
        <v>123</v>
      </c>
      <c r="D17" s="33" t="str">
        <f>'Mail merge'!AS17</f>
        <v/>
      </c>
      <c r="E17" s="34" t="str">
        <f>'Mail merge'!AT17</f>
        <v xml:space="preserve">  -NA-  </v>
      </c>
      <c r="F17" s="18" t="str">
        <f>'Mail merge'!AV17</f>
        <v xml:space="preserve">  -NA-  </v>
      </c>
      <c r="G17" s="19" t="str">
        <f>'Mail merge'!E17</f>
        <v/>
      </c>
      <c r="H17" s="41">
        <f>'Mail merge'!R17</f>
        <v>0</v>
      </c>
      <c r="I17" s="41">
        <f>'Mail merge'!S17</f>
        <v>0</v>
      </c>
      <c r="J17" s="19" t="str">
        <f>'Mail merge'!AW17</f>
        <v xml:space="preserve">  -NA-  </v>
      </c>
      <c r="K17" s="41" t="str">
        <f>'Mail merge'!BB17</f>
        <v xml:space="preserve">  -NA-  </v>
      </c>
      <c r="L17" s="19" t="str">
        <f>'Mail merge'!BC17</f>
        <v xml:space="preserve">  -NA-  </v>
      </c>
      <c r="M17" s="19" t="str">
        <f>'Mail merge'!BD17</f>
        <v xml:space="preserve">  -NA-  </v>
      </c>
      <c r="N17" s="20" t="str">
        <f>'Mail merge'!BA17</f>
        <v xml:space="preserve">  -NA-  </v>
      </c>
      <c r="O17" s="20">
        <v>0</v>
      </c>
      <c r="P17" s="20">
        <v>0</v>
      </c>
      <c r="Q17" s="20" t="e">
        <f t="shared" si="0"/>
        <v>#VALUE!</v>
      </c>
      <c r="R17" s="19" t="str">
        <f>'Mail merge'!BE17</f>
        <v xml:space="preserve">  -NA-  </v>
      </c>
    </row>
    <row r="18" spans="1:18" s="21" customFormat="1" ht="44.25" customHeight="1" x14ac:dyDescent="0.25">
      <c r="A18" s="35">
        <v>17</v>
      </c>
      <c r="B18" s="40">
        <f>'Mail merge'!H18</f>
        <v>0</v>
      </c>
      <c r="C18" s="66" t="s">
        <v>123</v>
      </c>
      <c r="D18" s="33" t="str">
        <f>'Mail merge'!AS18</f>
        <v/>
      </c>
      <c r="E18" s="34" t="str">
        <f>'Mail merge'!AT18</f>
        <v xml:space="preserve">  -NA-  </v>
      </c>
      <c r="F18" s="18" t="str">
        <f>'Mail merge'!AV18</f>
        <v xml:space="preserve">  -NA-  </v>
      </c>
      <c r="G18" s="19" t="str">
        <f>'Mail merge'!E18</f>
        <v/>
      </c>
      <c r="H18" s="41">
        <f>'Mail merge'!R18</f>
        <v>0</v>
      </c>
      <c r="I18" s="41">
        <f>'Mail merge'!S18</f>
        <v>0</v>
      </c>
      <c r="J18" s="19" t="str">
        <f>'Mail merge'!AW18</f>
        <v xml:space="preserve">  -NA-  </v>
      </c>
      <c r="K18" s="41" t="str">
        <f>'Mail merge'!BB18</f>
        <v xml:space="preserve">  -NA-  </v>
      </c>
      <c r="L18" s="19" t="str">
        <f>'Mail merge'!BC18</f>
        <v xml:space="preserve">  -NA-  </v>
      </c>
      <c r="M18" s="19" t="str">
        <f>'Mail merge'!BD18</f>
        <v xml:space="preserve">  -NA-  </v>
      </c>
      <c r="N18" s="20" t="str">
        <f>'Mail merge'!BA18</f>
        <v xml:space="preserve">  -NA-  </v>
      </c>
      <c r="O18" s="20">
        <v>0</v>
      </c>
      <c r="P18" s="20">
        <v>0</v>
      </c>
      <c r="Q18" s="20" t="e">
        <f t="shared" si="0"/>
        <v>#VALUE!</v>
      </c>
      <c r="R18" s="19" t="str">
        <f>'Mail merge'!BE18</f>
        <v xml:space="preserve">  -NA-  </v>
      </c>
    </row>
    <row r="19" spans="1:18" s="21" customFormat="1" ht="39.75" customHeight="1" x14ac:dyDescent="0.25">
      <c r="A19" s="35">
        <v>18</v>
      </c>
      <c r="B19" s="40">
        <f>'Mail merge'!H19</f>
        <v>0</v>
      </c>
      <c r="C19" s="66" t="s">
        <v>123</v>
      </c>
      <c r="D19" s="33" t="str">
        <f>'Mail merge'!AS19</f>
        <v/>
      </c>
      <c r="E19" s="34" t="str">
        <f>'Mail merge'!AT19</f>
        <v xml:space="preserve">  -NA-  </v>
      </c>
      <c r="F19" s="18" t="str">
        <f>'Mail merge'!AV19</f>
        <v xml:space="preserve">  -NA-  </v>
      </c>
      <c r="G19" s="19" t="str">
        <f>'Mail merge'!E19</f>
        <v/>
      </c>
      <c r="H19" s="41">
        <f>'Mail merge'!R19</f>
        <v>0</v>
      </c>
      <c r="I19" s="41">
        <f>'Mail merge'!S19</f>
        <v>0</v>
      </c>
      <c r="J19" s="19" t="str">
        <f>'Mail merge'!AW19</f>
        <v xml:space="preserve">  -NA-  </v>
      </c>
      <c r="K19" s="41" t="str">
        <f>'Mail merge'!BB19</f>
        <v xml:space="preserve">  -NA-  </v>
      </c>
      <c r="L19" s="19" t="str">
        <f>'Mail merge'!BC19</f>
        <v xml:space="preserve">  -NA-  </v>
      </c>
      <c r="M19" s="19" t="str">
        <f>'Mail merge'!BD19</f>
        <v xml:space="preserve">  -NA-  </v>
      </c>
      <c r="N19" s="20" t="str">
        <f>'Mail merge'!BA19</f>
        <v xml:space="preserve">  -NA-  </v>
      </c>
      <c r="O19" s="20">
        <v>0</v>
      </c>
      <c r="P19" s="20">
        <v>0</v>
      </c>
      <c r="Q19" s="20" t="e">
        <f t="shared" si="0"/>
        <v>#VALUE!</v>
      </c>
      <c r="R19" s="19" t="str">
        <f>'Mail merge'!BE19</f>
        <v xml:space="preserve">  -NA-  </v>
      </c>
    </row>
    <row r="20" spans="1:18" s="21" customFormat="1" ht="44.25" customHeight="1" x14ac:dyDescent="0.25">
      <c r="A20" s="35">
        <v>19</v>
      </c>
      <c r="B20" s="40">
        <f>'Mail merge'!H20</f>
        <v>0</v>
      </c>
      <c r="C20" s="66" t="s">
        <v>123</v>
      </c>
      <c r="D20" s="33" t="str">
        <f>'Mail merge'!AS20</f>
        <v/>
      </c>
      <c r="E20" s="34" t="str">
        <f>'Mail merge'!AT20</f>
        <v xml:space="preserve">  -NA-  </v>
      </c>
      <c r="F20" s="18" t="str">
        <f>'Mail merge'!AV20</f>
        <v xml:space="preserve">  -NA-  </v>
      </c>
      <c r="G20" s="19" t="str">
        <f>'Mail merge'!E20</f>
        <v/>
      </c>
      <c r="H20" s="41">
        <f>'Mail merge'!R20</f>
        <v>0</v>
      </c>
      <c r="I20" s="41">
        <f>'Mail merge'!S20</f>
        <v>0</v>
      </c>
      <c r="J20" s="19" t="str">
        <f>'Mail merge'!AW20</f>
        <v xml:space="preserve">  -NA-  </v>
      </c>
      <c r="K20" s="41" t="str">
        <f>'Mail merge'!BB20</f>
        <v xml:space="preserve">  -NA-  </v>
      </c>
      <c r="L20" s="19" t="str">
        <f>'Mail merge'!BC20</f>
        <v xml:space="preserve">  -NA-  </v>
      </c>
      <c r="M20" s="19" t="str">
        <f>'Mail merge'!BD20</f>
        <v xml:space="preserve">  -NA-  </v>
      </c>
      <c r="N20" s="20" t="str">
        <f>'Mail merge'!BA20</f>
        <v xml:space="preserve">  -NA-  </v>
      </c>
      <c r="O20" s="20">
        <v>0</v>
      </c>
      <c r="P20" s="20">
        <v>0</v>
      </c>
      <c r="Q20" s="20" t="e">
        <f t="shared" si="0"/>
        <v>#VALUE!</v>
      </c>
      <c r="R20" s="19" t="str">
        <f>'Mail merge'!BE20</f>
        <v xml:space="preserve">  -NA-  </v>
      </c>
    </row>
    <row r="21" spans="1:18" s="21" customFormat="1" ht="44.25" customHeight="1" x14ac:dyDescent="0.25">
      <c r="A21" s="35">
        <v>20</v>
      </c>
      <c r="B21" s="40">
        <f>'Mail merge'!H21</f>
        <v>0</v>
      </c>
      <c r="C21" s="66" t="s">
        <v>123</v>
      </c>
      <c r="D21" s="33" t="str">
        <f>'Mail merge'!AS21</f>
        <v/>
      </c>
      <c r="E21" s="34" t="str">
        <f>'Mail merge'!AT21</f>
        <v xml:space="preserve">  -NA-  </v>
      </c>
      <c r="F21" s="18" t="str">
        <f>'Mail merge'!AV21</f>
        <v xml:space="preserve">  -NA-  </v>
      </c>
      <c r="G21" s="19" t="str">
        <f>'Mail merge'!E21</f>
        <v/>
      </c>
      <c r="H21" s="41">
        <f>'Mail merge'!R21</f>
        <v>0</v>
      </c>
      <c r="I21" s="41">
        <f>'Mail merge'!S21</f>
        <v>0</v>
      </c>
      <c r="J21" s="19" t="str">
        <f>'Mail merge'!AW21</f>
        <v xml:space="preserve">  -NA-  </v>
      </c>
      <c r="K21" s="41" t="str">
        <f>'Mail merge'!BB21</f>
        <v xml:space="preserve">  -NA-  </v>
      </c>
      <c r="L21" s="19" t="str">
        <f>'Mail merge'!BC21</f>
        <v xml:space="preserve">  -NA-  </v>
      </c>
      <c r="M21" s="19" t="str">
        <f>'Mail merge'!BD21</f>
        <v xml:space="preserve">  -NA-  </v>
      </c>
      <c r="N21" s="20" t="str">
        <f>'Mail merge'!BA21</f>
        <v xml:space="preserve">  -NA-  </v>
      </c>
      <c r="O21" s="20">
        <v>0</v>
      </c>
      <c r="P21" s="20">
        <v>0</v>
      </c>
      <c r="Q21" s="20" t="e">
        <f t="shared" si="0"/>
        <v>#VALUE!</v>
      </c>
      <c r="R21" s="19" t="str">
        <f>'Mail merge'!BE21</f>
        <v xml:space="preserve">  -NA-  </v>
      </c>
    </row>
    <row r="22" spans="1:18" s="21" customFormat="1" ht="44.25" customHeight="1" x14ac:dyDescent="0.25">
      <c r="A22" s="35">
        <v>21</v>
      </c>
      <c r="B22" s="40">
        <f>'Mail merge'!H22</f>
        <v>0</v>
      </c>
      <c r="C22" s="66" t="s">
        <v>123</v>
      </c>
      <c r="D22" s="33" t="str">
        <f>'Mail merge'!AS22</f>
        <v/>
      </c>
      <c r="E22" s="34" t="str">
        <f>'Mail merge'!AT22</f>
        <v xml:space="preserve">  -NA-  </v>
      </c>
      <c r="F22" s="18" t="str">
        <f>'Mail merge'!AV22</f>
        <v xml:space="preserve">  -NA-  </v>
      </c>
      <c r="G22" s="19" t="str">
        <f>'Mail merge'!E22</f>
        <v/>
      </c>
      <c r="H22" s="41">
        <f>'Mail merge'!R22</f>
        <v>0</v>
      </c>
      <c r="I22" s="41">
        <f>'Mail merge'!S22</f>
        <v>0</v>
      </c>
      <c r="J22" s="19" t="str">
        <f>'Mail merge'!AW22</f>
        <v xml:space="preserve">  -NA-  </v>
      </c>
      <c r="K22" s="41" t="str">
        <f>'Mail merge'!BB22</f>
        <v xml:space="preserve">  -NA-  </v>
      </c>
      <c r="L22" s="19" t="str">
        <f>'Mail merge'!BC22</f>
        <v xml:space="preserve">  -NA-  </v>
      </c>
      <c r="M22" s="19" t="str">
        <f>'Mail merge'!BD22</f>
        <v xml:space="preserve">  -NA-  </v>
      </c>
      <c r="N22" s="20" t="str">
        <f>'Mail merge'!BA22</f>
        <v xml:space="preserve">  -NA-  </v>
      </c>
      <c r="O22" s="20">
        <v>0</v>
      </c>
      <c r="P22" s="20">
        <v>0</v>
      </c>
      <c r="Q22" s="20" t="e">
        <f t="shared" si="0"/>
        <v>#VALUE!</v>
      </c>
      <c r="R22" s="19" t="str">
        <f>'Mail merge'!BE22</f>
        <v xml:space="preserve">  -NA-  </v>
      </c>
    </row>
    <row r="23" spans="1:18" s="21" customFormat="1" ht="44.25" customHeight="1" x14ac:dyDescent="0.25">
      <c r="A23" s="35">
        <v>22</v>
      </c>
      <c r="B23" s="40">
        <f>'Mail merge'!H23</f>
        <v>0</v>
      </c>
      <c r="C23" s="66" t="s">
        <v>123</v>
      </c>
      <c r="D23" s="33" t="str">
        <f>'Mail merge'!AS23</f>
        <v/>
      </c>
      <c r="E23" s="34" t="str">
        <f>'Mail merge'!AT23</f>
        <v xml:space="preserve">  -NA-  </v>
      </c>
      <c r="F23" s="18" t="str">
        <f>'Mail merge'!AV23</f>
        <v xml:space="preserve">  -NA-  </v>
      </c>
      <c r="G23" s="19" t="str">
        <f>'Mail merge'!E23</f>
        <v/>
      </c>
      <c r="H23" s="41">
        <f>'Mail merge'!R23</f>
        <v>0</v>
      </c>
      <c r="I23" s="41">
        <f>'Mail merge'!S23</f>
        <v>0</v>
      </c>
      <c r="J23" s="19" t="str">
        <f>'Mail merge'!AW23</f>
        <v xml:space="preserve">  -NA-  </v>
      </c>
      <c r="K23" s="41" t="str">
        <f>'Mail merge'!BB23</f>
        <v xml:space="preserve">  -NA-  </v>
      </c>
      <c r="L23" s="19" t="str">
        <f>'Mail merge'!BC23</f>
        <v xml:space="preserve">  -NA-  </v>
      </c>
      <c r="M23" s="19" t="str">
        <f>'Mail merge'!BD23</f>
        <v xml:space="preserve">  -NA-  </v>
      </c>
      <c r="N23" s="20" t="str">
        <f>'Mail merge'!BA23</f>
        <v xml:space="preserve">  -NA-  </v>
      </c>
      <c r="O23" s="20">
        <v>0</v>
      </c>
      <c r="P23" s="20">
        <v>0</v>
      </c>
      <c r="Q23" s="20" t="e">
        <f t="shared" si="0"/>
        <v>#VALUE!</v>
      </c>
      <c r="R23" s="19" t="str">
        <f>'Mail merge'!BE23</f>
        <v xml:space="preserve">  -NA-  </v>
      </c>
    </row>
    <row r="24" spans="1:18" s="21" customFormat="1" ht="44.25" customHeight="1" x14ac:dyDescent="0.25">
      <c r="A24" s="35">
        <v>23</v>
      </c>
      <c r="B24" s="40">
        <f>'Mail merge'!H24</f>
        <v>0</v>
      </c>
      <c r="C24" s="66" t="s">
        <v>123</v>
      </c>
      <c r="D24" s="33" t="str">
        <f>'Mail merge'!AS24</f>
        <v/>
      </c>
      <c r="E24" s="34" t="str">
        <f>'Mail merge'!AT24</f>
        <v xml:space="preserve">  -NA-  </v>
      </c>
      <c r="F24" s="18" t="str">
        <f>'Mail merge'!AV24</f>
        <v xml:space="preserve">  -NA-  </v>
      </c>
      <c r="G24" s="19" t="str">
        <f>'Mail merge'!E24</f>
        <v/>
      </c>
      <c r="H24" s="41">
        <f>'Mail merge'!R24</f>
        <v>0</v>
      </c>
      <c r="I24" s="41">
        <f>'Mail merge'!S24</f>
        <v>0</v>
      </c>
      <c r="J24" s="19" t="str">
        <f>'Mail merge'!AW24</f>
        <v xml:space="preserve">  -NA-  </v>
      </c>
      <c r="K24" s="41" t="str">
        <f>'Mail merge'!BB24</f>
        <v xml:space="preserve">  -NA-  </v>
      </c>
      <c r="L24" s="19" t="str">
        <f>'Mail merge'!BC24</f>
        <v xml:space="preserve">  -NA-  </v>
      </c>
      <c r="M24" s="19" t="str">
        <f>'Mail merge'!BD24</f>
        <v xml:space="preserve">  -NA-  </v>
      </c>
      <c r="N24" s="20" t="str">
        <f>'Mail merge'!BA24</f>
        <v xml:space="preserve">  -NA-  </v>
      </c>
      <c r="O24" s="20">
        <v>0</v>
      </c>
      <c r="P24" s="20">
        <v>0</v>
      </c>
      <c r="Q24" s="20" t="e">
        <f t="shared" si="0"/>
        <v>#VALUE!</v>
      </c>
      <c r="R24" s="19" t="str">
        <f>'Mail merge'!BE24</f>
        <v xml:space="preserve">  -NA-  </v>
      </c>
    </row>
    <row r="25" spans="1:18" s="21" customFormat="1" ht="44.25" customHeight="1" x14ac:dyDescent="0.25">
      <c r="A25" s="35">
        <v>24</v>
      </c>
      <c r="B25" s="40">
        <f>'Mail merge'!H25</f>
        <v>0</v>
      </c>
      <c r="C25" s="66" t="s">
        <v>123</v>
      </c>
      <c r="D25" s="33" t="str">
        <f>'Mail merge'!AS25</f>
        <v/>
      </c>
      <c r="E25" s="34" t="str">
        <f>'Mail merge'!AT25</f>
        <v xml:space="preserve">  -NA-  </v>
      </c>
      <c r="F25" s="18" t="str">
        <f>'Mail merge'!AV25</f>
        <v xml:space="preserve">  -NA-  </v>
      </c>
      <c r="G25" s="19" t="str">
        <f>'Mail merge'!E25</f>
        <v/>
      </c>
      <c r="H25" s="41">
        <f>'Mail merge'!R25</f>
        <v>0</v>
      </c>
      <c r="I25" s="41">
        <f>'Mail merge'!S25</f>
        <v>0</v>
      </c>
      <c r="J25" s="19" t="str">
        <f>'Mail merge'!AW25</f>
        <v xml:space="preserve">  -NA-  </v>
      </c>
      <c r="K25" s="41" t="str">
        <f>'Mail merge'!BB25</f>
        <v xml:space="preserve">  -NA-  </v>
      </c>
      <c r="L25" s="19" t="str">
        <f>'Mail merge'!BC25</f>
        <v xml:space="preserve">  -NA-  </v>
      </c>
      <c r="M25" s="19" t="str">
        <f>'Mail merge'!BD25</f>
        <v xml:space="preserve">  -NA-  </v>
      </c>
      <c r="N25" s="20" t="str">
        <f>'Mail merge'!BA25</f>
        <v xml:space="preserve">  -NA-  </v>
      </c>
      <c r="O25" s="20">
        <v>0</v>
      </c>
      <c r="P25" s="20">
        <v>0</v>
      </c>
      <c r="Q25" s="20" t="e">
        <f t="shared" si="0"/>
        <v>#VALUE!</v>
      </c>
      <c r="R25" s="19" t="str">
        <f>'Mail merge'!BE25</f>
        <v xml:space="preserve">  -NA-  </v>
      </c>
    </row>
    <row r="26" spans="1:18" s="21" customFormat="1" ht="44.25" customHeight="1" x14ac:dyDescent="0.25">
      <c r="A26" s="35">
        <v>25</v>
      </c>
      <c r="B26" s="40">
        <f>'Mail merge'!H26</f>
        <v>0</v>
      </c>
      <c r="C26" s="66" t="s">
        <v>123</v>
      </c>
      <c r="D26" s="33" t="str">
        <f>'Mail merge'!AS26</f>
        <v/>
      </c>
      <c r="E26" s="34" t="str">
        <f>'Mail merge'!AT26</f>
        <v xml:space="preserve">  -NA-  </v>
      </c>
      <c r="F26" s="18" t="str">
        <f>'Mail merge'!AV26</f>
        <v xml:space="preserve">  -NA-  </v>
      </c>
      <c r="G26" s="19" t="str">
        <f>'Mail merge'!E26</f>
        <v/>
      </c>
      <c r="H26" s="41">
        <f>'Mail merge'!R26</f>
        <v>0</v>
      </c>
      <c r="I26" s="41">
        <f>'Mail merge'!S26</f>
        <v>0</v>
      </c>
      <c r="J26" s="19" t="str">
        <f>'Mail merge'!AW26</f>
        <v xml:space="preserve">  -NA-  </v>
      </c>
      <c r="K26" s="41" t="str">
        <f>'Mail merge'!BB26</f>
        <v xml:space="preserve">  -NA-  </v>
      </c>
      <c r="L26" s="19" t="str">
        <f>'Mail merge'!BC26</f>
        <v xml:space="preserve">  -NA-  </v>
      </c>
      <c r="M26" s="19" t="str">
        <f>'Mail merge'!BD26</f>
        <v xml:space="preserve">  -NA-  </v>
      </c>
      <c r="N26" s="20" t="str">
        <f>'Mail merge'!BA26</f>
        <v xml:space="preserve">  -NA-  </v>
      </c>
      <c r="O26" s="20">
        <v>0</v>
      </c>
      <c r="P26" s="20">
        <v>0</v>
      </c>
      <c r="Q26" s="20" t="e">
        <f t="shared" si="0"/>
        <v>#VALUE!</v>
      </c>
      <c r="R26" s="19" t="str">
        <f>'Mail merge'!BE26</f>
        <v xml:space="preserve">  -NA-  </v>
      </c>
    </row>
    <row r="27" spans="1:18" s="21" customFormat="1" ht="44.25" customHeight="1" x14ac:dyDescent="0.25">
      <c r="A27" s="35">
        <v>26</v>
      </c>
      <c r="B27" s="40">
        <f>'Mail merge'!H27</f>
        <v>0</v>
      </c>
      <c r="C27" s="66" t="s">
        <v>123</v>
      </c>
      <c r="D27" s="33" t="str">
        <f>'Mail merge'!AS27</f>
        <v/>
      </c>
      <c r="E27" s="34" t="str">
        <f>'Mail merge'!AT27</f>
        <v xml:space="preserve">  -NA-  </v>
      </c>
      <c r="F27" s="18" t="str">
        <f>'Mail merge'!AV27</f>
        <v xml:space="preserve">  -NA-  </v>
      </c>
      <c r="G27" s="19" t="str">
        <f>'Mail merge'!E27</f>
        <v/>
      </c>
      <c r="H27" s="41">
        <f>'Mail merge'!R27</f>
        <v>0</v>
      </c>
      <c r="I27" s="41">
        <f>'Mail merge'!S27</f>
        <v>0</v>
      </c>
      <c r="J27" s="19" t="str">
        <f>'Mail merge'!AW27</f>
        <v xml:space="preserve">  -NA-  </v>
      </c>
      <c r="K27" s="41" t="str">
        <f>'Mail merge'!BB27</f>
        <v xml:space="preserve">  -NA-  </v>
      </c>
      <c r="L27" s="19" t="str">
        <f>'Mail merge'!BC27</f>
        <v xml:space="preserve">  -NA-  </v>
      </c>
      <c r="M27" s="19" t="str">
        <f>'Mail merge'!BD27</f>
        <v xml:space="preserve">  -NA-  </v>
      </c>
      <c r="N27" s="20" t="str">
        <f>'Mail merge'!BA27</f>
        <v xml:space="preserve">  -NA-  </v>
      </c>
      <c r="O27" s="20">
        <v>0</v>
      </c>
      <c r="P27" s="20">
        <v>0</v>
      </c>
      <c r="Q27" s="20" t="e">
        <f t="shared" si="0"/>
        <v>#VALUE!</v>
      </c>
      <c r="R27" s="19" t="str">
        <f>'Mail merge'!BE27</f>
        <v xml:space="preserve">  -NA-  </v>
      </c>
    </row>
    <row r="28" spans="1:18" s="21" customFormat="1" ht="44.25" customHeight="1" x14ac:dyDescent="0.25">
      <c r="A28" s="35">
        <v>27</v>
      </c>
      <c r="B28" s="40">
        <f>'Mail merge'!H28</f>
        <v>0</v>
      </c>
      <c r="C28" s="66" t="s">
        <v>123</v>
      </c>
      <c r="D28" s="33" t="str">
        <f>'Mail merge'!AS28</f>
        <v/>
      </c>
      <c r="E28" s="34" t="str">
        <f>'Mail merge'!AT28</f>
        <v xml:space="preserve">  -NA-  </v>
      </c>
      <c r="F28" s="18" t="str">
        <f>'Mail merge'!AV28</f>
        <v xml:space="preserve">  -NA-  </v>
      </c>
      <c r="G28" s="19" t="str">
        <f>'Mail merge'!E28</f>
        <v/>
      </c>
      <c r="H28" s="41">
        <f>'Mail merge'!R28</f>
        <v>0</v>
      </c>
      <c r="I28" s="41">
        <f>'Mail merge'!S28</f>
        <v>0</v>
      </c>
      <c r="J28" s="19" t="str">
        <f>'Mail merge'!AW28</f>
        <v xml:space="preserve">  -NA-  </v>
      </c>
      <c r="K28" s="41" t="str">
        <f>'Mail merge'!BB28</f>
        <v xml:space="preserve">  -NA-  </v>
      </c>
      <c r="L28" s="19" t="str">
        <f>'Mail merge'!BC28</f>
        <v xml:space="preserve">  -NA-  </v>
      </c>
      <c r="M28" s="19" t="str">
        <f>'Mail merge'!BD28</f>
        <v xml:space="preserve">  -NA-  </v>
      </c>
      <c r="N28" s="20" t="str">
        <f>'Mail merge'!BA28</f>
        <v xml:space="preserve">  -NA-  </v>
      </c>
      <c r="O28" s="20">
        <v>0</v>
      </c>
      <c r="P28" s="20">
        <v>0</v>
      </c>
      <c r="Q28" s="20" t="e">
        <f t="shared" ref="Q28:Q57" si="1">N28+O28+P28</f>
        <v>#VALUE!</v>
      </c>
      <c r="R28" s="19" t="str">
        <f>'Mail merge'!BE28</f>
        <v xml:space="preserve">  -NA-  </v>
      </c>
    </row>
    <row r="29" spans="1:18" s="21" customFormat="1" ht="44.25" customHeight="1" x14ac:dyDescent="0.25">
      <c r="A29" s="35">
        <v>28</v>
      </c>
      <c r="B29" s="40">
        <f>'Mail merge'!H29</f>
        <v>0</v>
      </c>
      <c r="C29" s="66" t="s">
        <v>123</v>
      </c>
      <c r="D29" s="33" t="str">
        <f>'Mail merge'!AS29</f>
        <v/>
      </c>
      <c r="E29" s="34" t="str">
        <f>'Mail merge'!AT29</f>
        <v xml:space="preserve">  -NA-  </v>
      </c>
      <c r="F29" s="18" t="str">
        <f>'Mail merge'!AV29</f>
        <v xml:space="preserve">  -NA-  </v>
      </c>
      <c r="G29" s="19" t="str">
        <f>'Mail merge'!E29</f>
        <v/>
      </c>
      <c r="H29" s="41">
        <f>'Mail merge'!R29</f>
        <v>0</v>
      </c>
      <c r="I29" s="41">
        <f>'Mail merge'!S29</f>
        <v>0</v>
      </c>
      <c r="J29" s="19" t="str">
        <f>'Mail merge'!AW29</f>
        <v xml:space="preserve">  -NA-  </v>
      </c>
      <c r="K29" s="41" t="str">
        <f>'Mail merge'!BB29</f>
        <v xml:space="preserve">  -NA-  </v>
      </c>
      <c r="L29" s="19" t="str">
        <f>'Mail merge'!BC29</f>
        <v xml:space="preserve">  -NA-  </v>
      </c>
      <c r="M29" s="19" t="str">
        <f>'Mail merge'!BD29</f>
        <v xml:space="preserve">  -NA-  </v>
      </c>
      <c r="N29" s="20" t="str">
        <f>'Mail merge'!BA29</f>
        <v xml:space="preserve">  -NA-  </v>
      </c>
      <c r="O29" s="20">
        <v>0</v>
      </c>
      <c r="P29" s="20">
        <v>0</v>
      </c>
      <c r="Q29" s="20" t="e">
        <f t="shared" si="1"/>
        <v>#VALUE!</v>
      </c>
      <c r="R29" s="19" t="str">
        <f>'Mail merge'!BE29</f>
        <v xml:space="preserve">  -NA-  </v>
      </c>
    </row>
    <row r="30" spans="1:18" s="21" customFormat="1" ht="44.25" customHeight="1" x14ac:dyDescent="0.25">
      <c r="A30" s="35">
        <v>29</v>
      </c>
      <c r="B30" s="40">
        <f>'Mail merge'!H30</f>
        <v>0</v>
      </c>
      <c r="C30" s="66" t="s">
        <v>123</v>
      </c>
      <c r="D30" s="33" t="str">
        <f>'Mail merge'!AS30</f>
        <v/>
      </c>
      <c r="E30" s="34" t="str">
        <f>'Mail merge'!AT30</f>
        <v xml:space="preserve">  -NA-  </v>
      </c>
      <c r="F30" s="18" t="str">
        <f>'Mail merge'!AV30</f>
        <v xml:space="preserve">  -NA-  </v>
      </c>
      <c r="G30" s="19" t="str">
        <f>'Mail merge'!E30</f>
        <v/>
      </c>
      <c r="H30" s="41">
        <f>'Mail merge'!R30</f>
        <v>0</v>
      </c>
      <c r="I30" s="41">
        <f>'Mail merge'!S30</f>
        <v>0</v>
      </c>
      <c r="J30" s="19" t="str">
        <f>'Mail merge'!AW30</f>
        <v xml:space="preserve">  -NA-  </v>
      </c>
      <c r="K30" s="41" t="str">
        <f>'Mail merge'!BB30</f>
        <v xml:space="preserve">  -NA-  </v>
      </c>
      <c r="L30" s="19" t="str">
        <f>'Mail merge'!BC30</f>
        <v xml:space="preserve">  -NA-  </v>
      </c>
      <c r="M30" s="19" t="str">
        <f>'Mail merge'!BD30</f>
        <v xml:space="preserve">  -NA-  </v>
      </c>
      <c r="N30" s="20" t="str">
        <f>'Mail merge'!BA30</f>
        <v xml:space="preserve">  -NA-  </v>
      </c>
      <c r="O30" s="20">
        <v>0</v>
      </c>
      <c r="P30" s="20">
        <v>0</v>
      </c>
      <c r="Q30" s="20" t="e">
        <f t="shared" si="1"/>
        <v>#VALUE!</v>
      </c>
      <c r="R30" s="19" t="str">
        <f>'Mail merge'!BE30</f>
        <v xml:space="preserve">  -NA-  </v>
      </c>
    </row>
    <row r="31" spans="1:18" s="21" customFormat="1" ht="44.25" customHeight="1" x14ac:dyDescent="0.25">
      <c r="A31" s="35">
        <v>30</v>
      </c>
      <c r="B31" s="40">
        <f>'Mail merge'!H31</f>
        <v>0</v>
      </c>
      <c r="C31" s="66" t="s">
        <v>123</v>
      </c>
      <c r="D31" s="33" t="str">
        <f>'Mail merge'!AS31</f>
        <v/>
      </c>
      <c r="E31" s="34" t="str">
        <f>'Mail merge'!AT31</f>
        <v xml:space="preserve">  -NA-  </v>
      </c>
      <c r="F31" s="18" t="str">
        <f>'Mail merge'!AV31</f>
        <v xml:space="preserve">  -NA-  </v>
      </c>
      <c r="G31" s="19" t="str">
        <f>'Mail merge'!E31</f>
        <v/>
      </c>
      <c r="H31" s="41">
        <f>'Mail merge'!R31</f>
        <v>0</v>
      </c>
      <c r="I31" s="41">
        <f>'Mail merge'!S31</f>
        <v>0</v>
      </c>
      <c r="J31" s="19" t="str">
        <f>'Mail merge'!AW31</f>
        <v xml:space="preserve">  -NA-  </v>
      </c>
      <c r="K31" s="41" t="str">
        <f>'Mail merge'!BB31</f>
        <v xml:space="preserve">  -NA-  </v>
      </c>
      <c r="L31" s="19" t="str">
        <f>'Mail merge'!BC31</f>
        <v xml:space="preserve">  -NA-  </v>
      </c>
      <c r="M31" s="19" t="str">
        <f>'Mail merge'!BD31</f>
        <v xml:space="preserve">  -NA-  </v>
      </c>
      <c r="N31" s="20" t="str">
        <f>'Mail merge'!BA31</f>
        <v xml:space="preserve">  -NA-  </v>
      </c>
      <c r="O31" s="20">
        <v>0</v>
      </c>
      <c r="P31" s="20">
        <v>0</v>
      </c>
      <c r="Q31" s="20" t="e">
        <f t="shared" si="1"/>
        <v>#VALUE!</v>
      </c>
      <c r="R31" s="19" t="str">
        <f>'Mail merge'!BE31</f>
        <v xml:space="preserve">  -NA-  </v>
      </c>
    </row>
    <row r="32" spans="1:18" s="21" customFormat="1" ht="44.25" customHeight="1" x14ac:dyDescent="0.25">
      <c r="A32" s="35">
        <v>31</v>
      </c>
      <c r="B32" s="40">
        <f>'Mail merge'!H32</f>
        <v>0</v>
      </c>
      <c r="C32" s="66" t="s">
        <v>123</v>
      </c>
      <c r="D32" s="33" t="str">
        <f>'Mail merge'!AS32</f>
        <v/>
      </c>
      <c r="E32" s="34" t="str">
        <f>'Mail merge'!AT32</f>
        <v xml:space="preserve">  -NA-  </v>
      </c>
      <c r="F32" s="18" t="str">
        <f>'Mail merge'!AV32</f>
        <v xml:space="preserve">  -NA-  </v>
      </c>
      <c r="G32" s="19" t="str">
        <f>'Mail merge'!E32</f>
        <v/>
      </c>
      <c r="H32" s="41">
        <f>'Mail merge'!R32</f>
        <v>0</v>
      </c>
      <c r="I32" s="41">
        <f>'Mail merge'!S32</f>
        <v>0</v>
      </c>
      <c r="J32" s="19" t="str">
        <f>'Mail merge'!AW32</f>
        <v xml:space="preserve">  -NA-  </v>
      </c>
      <c r="K32" s="41" t="str">
        <f>'Mail merge'!BB32</f>
        <v xml:space="preserve">  -NA-  </v>
      </c>
      <c r="L32" s="19" t="str">
        <f>'Mail merge'!BC32</f>
        <v xml:space="preserve">  -NA-  </v>
      </c>
      <c r="M32" s="19" t="str">
        <f>'Mail merge'!BD32</f>
        <v xml:space="preserve">  -NA-  </v>
      </c>
      <c r="N32" s="20" t="str">
        <f>'Mail merge'!BA32</f>
        <v xml:space="preserve">  -NA-  </v>
      </c>
      <c r="O32" s="20">
        <v>0</v>
      </c>
      <c r="P32" s="20">
        <v>0</v>
      </c>
      <c r="Q32" s="20" t="e">
        <f t="shared" si="1"/>
        <v>#VALUE!</v>
      </c>
      <c r="R32" s="19" t="str">
        <f>'Mail merge'!BE32</f>
        <v xml:space="preserve">  -NA-  </v>
      </c>
    </row>
    <row r="33" spans="1:18" s="21" customFormat="1" ht="44.25" customHeight="1" x14ac:dyDescent="0.25">
      <c r="A33" s="35">
        <v>32</v>
      </c>
      <c r="B33" s="40">
        <f>'Mail merge'!H33</f>
        <v>0</v>
      </c>
      <c r="C33" s="66" t="s">
        <v>123</v>
      </c>
      <c r="D33" s="33" t="str">
        <f>'Mail merge'!AS33</f>
        <v/>
      </c>
      <c r="E33" s="34" t="str">
        <f>'Mail merge'!AT33</f>
        <v xml:space="preserve">  -NA-  </v>
      </c>
      <c r="F33" s="18" t="str">
        <f>'Mail merge'!AV33</f>
        <v xml:space="preserve">  -NA-  </v>
      </c>
      <c r="G33" s="19" t="str">
        <f>'Mail merge'!E33</f>
        <v/>
      </c>
      <c r="H33" s="41">
        <f>'Mail merge'!R33</f>
        <v>0</v>
      </c>
      <c r="I33" s="41">
        <f>'Mail merge'!S33</f>
        <v>0</v>
      </c>
      <c r="J33" s="19" t="str">
        <f>'Mail merge'!AW33</f>
        <v xml:space="preserve">  -NA-  </v>
      </c>
      <c r="K33" s="41" t="str">
        <f>'Mail merge'!BB33</f>
        <v xml:space="preserve">  -NA-  </v>
      </c>
      <c r="L33" s="19" t="str">
        <f>'Mail merge'!BC33</f>
        <v xml:space="preserve">  -NA-  </v>
      </c>
      <c r="M33" s="19" t="str">
        <f>'Mail merge'!BD33</f>
        <v xml:space="preserve">  -NA-  </v>
      </c>
      <c r="N33" s="20" t="str">
        <f>'Mail merge'!BA33</f>
        <v xml:space="preserve">  -NA-  </v>
      </c>
      <c r="O33" s="20">
        <v>0</v>
      </c>
      <c r="P33" s="20">
        <v>0</v>
      </c>
      <c r="Q33" s="20" t="e">
        <f t="shared" si="1"/>
        <v>#VALUE!</v>
      </c>
      <c r="R33" s="19" t="str">
        <f>'Mail merge'!BE33</f>
        <v xml:space="preserve">  -NA-  </v>
      </c>
    </row>
    <row r="34" spans="1:18" ht="20.25" x14ac:dyDescent="0.2">
      <c r="A34" s="35">
        <v>33</v>
      </c>
      <c r="B34" s="40">
        <f>'Mail merge'!H34</f>
        <v>0</v>
      </c>
      <c r="C34" s="66" t="s">
        <v>123</v>
      </c>
      <c r="D34" s="33" t="str">
        <f>'Mail merge'!AS34</f>
        <v/>
      </c>
      <c r="E34" s="34" t="str">
        <f>'Mail merge'!AT34</f>
        <v xml:space="preserve">  -NA-  </v>
      </c>
      <c r="F34" s="18" t="str">
        <f>'Mail merge'!AV34</f>
        <v xml:space="preserve">  -NA-  </v>
      </c>
      <c r="G34" s="19" t="str">
        <f>'Mail merge'!E34</f>
        <v/>
      </c>
      <c r="H34" s="41">
        <f>'Mail merge'!R34</f>
        <v>0</v>
      </c>
      <c r="I34" s="41">
        <f>'Mail merge'!S34</f>
        <v>0</v>
      </c>
      <c r="J34" s="19" t="str">
        <f>'Mail merge'!AW34</f>
        <v xml:space="preserve">  -NA-  </v>
      </c>
      <c r="K34" s="41" t="str">
        <f>'Mail merge'!BB34</f>
        <v xml:space="preserve">  -NA-  </v>
      </c>
      <c r="L34" s="19" t="str">
        <f>'Mail merge'!BC34</f>
        <v xml:space="preserve">  -NA-  </v>
      </c>
      <c r="M34" s="19" t="str">
        <f>'Mail merge'!BD34</f>
        <v xml:space="preserve">  -NA-  </v>
      </c>
      <c r="N34" s="20" t="str">
        <f>'Mail merge'!BA34</f>
        <v xml:space="preserve">  -NA-  </v>
      </c>
      <c r="O34" s="20">
        <v>0</v>
      </c>
      <c r="P34" s="20">
        <v>0</v>
      </c>
      <c r="Q34" s="20" t="e">
        <f t="shared" si="1"/>
        <v>#VALUE!</v>
      </c>
      <c r="R34" s="19" t="str">
        <f>'Mail merge'!BE34</f>
        <v xml:space="preserve">  -NA-  </v>
      </c>
    </row>
    <row r="35" spans="1:18" ht="20.25" x14ac:dyDescent="0.2">
      <c r="A35" s="35">
        <v>34</v>
      </c>
      <c r="B35" s="40">
        <f>'Mail merge'!H35</f>
        <v>0</v>
      </c>
      <c r="C35" s="66" t="s">
        <v>123</v>
      </c>
      <c r="D35" s="33" t="str">
        <f>'Mail merge'!AS35</f>
        <v/>
      </c>
      <c r="E35" s="34" t="str">
        <f>'Mail merge'!AT35</f>
        <v xml:space="preserve">  -NA-  </v>
      </c>
      <c r="F35" s="18" t="str">
        <f>'Mail merge'!AV35</f>
        <v xml:space="preserve">  -NA-  </v>
      </c>
      <c r="G35" s="19" t="str">
        <f>'Mail merge'!E35</f>
        <v/>
      </c>
      <c r="H35" s="41">
        <f>'Mail merge'!R35</f>
        <v>0</v>
      </c>
      <c r="I35" s="41">
        <f>'Mail merge'!S35</f>
        <v>0</v>
      </c>
      <c r="J35" s="19" t="str">
        <f>'Mail merge'!AW35</f>
        <v xml:space="preserve">  -NA-  </v>
      </c>
      <c r="K35" s="41" t="str">
        <f>'Mail merge'!BB35</f>
        <v xml:space="preserve">  -NA-  </v>
      </c>
      <c r="L35" s="19" t="str">
        <f>'Mail merge'!BC35</f>
        <v xml:space="preserve">  -NA-  </v>
      </c>
      <c r="M35" s="19" t="str">
        <f>'Mail merge'!BD35</f>
        <v xml:space="preserve">  -NA-  </v>
      </c>
      <c r="N35" s="20" t="str">
        <f>'Mail merge'!BA35</f>
        <v xml:space="preserve">  -NA-  </v>
      </c>
      <c r="O35" s="20">
        <v>0</v>
      </c>
      <c r="P35" s="20">
        <v>0</v>
      </c>
      <c r="Q35" s="20" t="e">
        <f t="shared" si="1"/>
        <v>#VALUE!</v>
      </c>
      <c r="R35" s="19" t="str">
        <f>'Mail merge'!BE35</f>
        <v xml:space="preserve">  -NA-  </v>
      </c>
    </row>
    <row r="36" spans="1:18" ht="20.25" x14ac:dyDescent="0.2">
      <c r="A36" s="35">
        <v>35</v>
      </c>
      <c r="B36" s="40">
        <f>'Mail merge'!H36</f>
        <v>0</v>
      </c>
      <c r="C36" s="66" t="s">
        <v>123</v>
      </c>
      <c r="D36" s="33" t="str">
        <f>'Mail merge'!AS36</f>
        <v/>
      </c>
      <c r="E36" s="34" t="str">
        <f>'Mail merge'!AT36</f>
        <v xml:space="preserve">  -NA-  </v>
      </c>
      <c r="F36" s="18" t="str">
        <f>'Mail merge'!AV36</f>
        <v xml:space="preserve">  -NA-  </v>
      </c>
      <c r="G36" s="19" t="str">
        <f>'Mail merge'!E36</f>
        <v/>
      </c>
      <c r="H36" s="41">
        <f>'Mail merge'!R36</f>
        <v>0</v>
      </c>
      <c r="I36" s="41">
        <f>'Mail merge'!S36</f>
        <v>0</v>
      </c>
      <c r="J36" s="19" t="str">
        <f>'Mail merge'!AW36</f>
        <v xml:space="preserve">  -NA-  </v>
      </c>
      <c r="K36" s="41" t="str">
        <f>'Mail merge'!BB36</f>
        <v xml:space="preserve">  -NA-  </v>
      </c>
      <c r="L36" s="19" t="str">
        <f>'Mail merge'!BC36</f>
        <v xml:space="preserve">  -NA-  </v>
      </c>
      <c r="M36" s="19" t="str">
        <f>'Mail merge'!BD36</f>
        <v xml:space="preserve">  -NA-  </v>
      </c>
      <c r="N36" s="20" t="str">
        <f>'Mail merge'!BA36</f>
        <v xml:space="preserve">  -NA-  </v>
      </c>
      <c r="O36" s="20">
        <v>0</v>
      </c>
      <c r="P36" s="20">
        <v>0</v>
      </c>
      <c r="Q36" s="20" t="e">
        <f t="shared" si="1"/>
        <v>#VALUE!</v>
      </c>
      <c r="R36" s="19" t="str">
        <f>'Mail merge'!BE36</f>
        <v xml:space="preserve">  -NA-  </v>
      </c>
    </row>
    <row r="37" spans="1:18" ht="20.25" x14ac:dyDescent="0.2">
      <c r="A37" s="35">
        <v>36</v>
      </c>
      <c r="B37" s="40">
        <f>'Mail merge'!H37</f>
        <v>0</v>
      </c>
      <c r="C37" s="66" t="s">
        <v>123</v>
      </c>
      <c r="D37" s="33" t="str">
        <f>'Mail merge'!AS37</f>
        <v/>
      </c>
      <c r="E37" s="34" t="str">
        <f>'Mail merge'!AT37</f>
        <v xml:space="preserve">  -NA-  </v>
      </c>
      <c r="F37" s="18" t="str">
        <f>'Mail merge'!AV37</f>
        <v xml:space="preserve">  -NA-  </v>
      </c>
      <c r="G37" s="19" t="str">
        <f>'Mail merge'!E37</f>
        <v/>
      </c>
      <c r="H37" s="41">
        <f>'Mail merge'!R37</f>
        <v>0</v>
      </c>
      <c r="I37" s="41">
        <f>'Mail merge'!S37</f>
        <v>0</v>
      </c>
      <c r="J37" s="19" t="str">
        <f>'Mail merge'!AW37</f>
        <v xml:space="preserve">  -NA-  </v>
      </c>
      <c r="K37" s="41" t="str">
        <f>'Mail merge'!BB37</f>
        <v xml:space="preserve">  -NA-  </v>
      </c>
      <c r="L37" s="19" t="str">
        <f>'Mail merge'!BC37</f>
        <v xml:space="preserve">  -NA-  </v>
      </c>
      <c r="M37" s="19" t="str">
        <f>'Mail merge'!BD37</f>
        <v xml:space="preserve">  -NA-  </v>
      </c>
      <c r="N37" s="20" t="str">
        <f>'Mail merge'!BA37</f>
        <v xml:space="preserve">  -NA-  </v>
      </c>
      <c r="O37" s="20">
        <v>0</v>
      </c>
      <c r="P37" s="20">
        <v>0</v>
      </c>
      <c r="Q37" s="20" t="e">
        <f t="shared" si="1"/>
        <v>#VALUE!</v>
      </c>
      <c r="R37" s="19" t="str">
        <f>'Mail merge'!BE37</f>
        <v xml:space="preserve">  -NA-  </v>
      </c>
    </row>
    <row r="38" spans="1:18" ht="20.25" x14ac:dyDescent="0.2">
      <c r="A38" s="35">
        <v>37</v>
      </c>
      <c r="B38" s="40">
        <f>'Mail merge'!H38</f>
        <v>0</v>
      </c>
      <c r="C38" s="66" t="s">
        <v>123</v>
      </c>
      <c r="D38" s="33" t="str">
        <f>'Mail merge'!AS38</f>
        <v/>
      </c>
      <c r="E38" s="34" t="str">
        <f>'Mail merge'!AT38</f>
        <v xml:space="preserve">  -NA-  </v>
      </c>
      <c r="F38" s="18" t="str">
        <f>'Mail merge'!AV38</f>
        <v xml:space="preserve">  -NA-  </v>
      </c>
      <c r="G38" s="19" t="str">
        <f>'Mail merge'!E38</f>
        <v/>
      </c>
      <c r="H38" s="41">
        <f>'Mail merge'!R38</f>
        <v>0</v>
      </c>
      <c r="I38" s="41">
        <f>'Mail merge'!S38</f>
        <v>0</v>
      </c>
      <c r="J38" s="19" t="str">
        <f>'Mail merge'!AW38</f>
        <v xml:space="preserve">  -NA-  </v>
      </c>
      <c r="K38" s="41" t="str">
        <f>'Mail merge'!BB38</f>
        <v xml:space="preserve">  -NA-  </v>
      </c>
      <c r="L38" s="19" t="str">
        <f>'Mail merge'!BC38</f>
        <v xml:space="preserve">  -NA-  </v>
      </c>
      <c r="M38" s="19" t="str">
        <f>'Mail merge'!BD38</f>
        <v xml:space="preserve">  -NA-  </v>
      </c>
      <c r="N38" s="20" t="str">
        <f>'Mail merge'!BA38</f>
        <v xml:space="preserve">  -NA-  </v>
      </c>
      <c r="O38" s="20">
        <v>0</v>
      </c>
      <c r="P38" s="20">
        <v>0</v>
      </c>
      <c r="Q38" s="20" t="e">
        <f t="shared" si="1"/>
        <v>#VALUE!</v>
      </c>
      <c r="R38" s="19" t="str">
        <f>'Mail merge'!BE38</f>
        <v xml:space="preserve">  -NA-  </v>
      </c>
    </row>
    <row r="39" spans="1:18" ht="20.25" x14ac:dyDescent="0.2">
      <c r="A39" s="35">
        <v>38</v>
      </c>
      <c r="B39" s="40">
        <f>'Mail merge'!H39</f>
        <v>0</v>
      </c>
      <c r="C39" s="66" t="s">
        <v>123</v>
      </c>
      <c r="D39" s="33" t="str">
        <f>'Mail merge'!AS39</f>
        <v/>
      </c>
      <c r="E39" s="34" t="str">
        <f>'Mail merge'!AT39</f>
        <v xml:space="preserve">  -NA-  </v>
      </c>
      <c r="F39" s="18" t="str">
        <f>'Mail merge'!AV39</f>
        <v xml:space="preserve">  -NA-  </v>
      </c>
      <c r="G39" s="19" t="str">
        <f>'Mail merge'!E39</f>
        <v/>
      </c>
      <c r="H39" s="41">
        <f>'Mail merge'!R39</f>
        <v>0</v>
      </c>
      <c r="I39" s="41">
        <f>'Mail merge'!S39</f>
        <v>0</v>
      </c>
      <c r="J39" s="19" t="str">
        <f>'Mail merge'!AW39</f>
        <v xml:space="preserve">  -NA-  </v>
      </c>
      <c r="K39" s="41" t="str">
        <f>'Mail merge'!BB39</f>
        <v xml:space="preserve">  -NA-  </v>
      </c>
      <c r="L39" s="19" t="str">
        <f>'Mail merge'!BC39</f>
        <v xml:space="preserve">  -NA-  </v>
      </c>
      <c r="M39" s="19" t="str">
        <f>'Mail merge'!BD39</f>
        <v xml:space="preserve">  -NA-  </v>
      </c>
      <c r="N39" s="20" t="str">
        <f>'Mail merge'!BA39</f>
        <v xml:space="preserve">  -NA-  </v>
      </c>
      <c r="O39" s="20">
        <v>0</v>
      </c>
      <c r="P39" s="20">
        <v>0</v>
      </c>
      <c r="Q39" s="20" t="e">
        <f t="shared" si="1"/>
        <v>#VALUE!</v>
      </c>
      <c r="R39" s="19" t="str">
        <f>'Mail merge'!BE39</f>
        <v xml:space="preserve">  -NA-  </v>
      </c>
    </row>
    <row r="40" spans="1:18" ht="20.25" x14ac:dyDescent="0.2">
      <c r="A40" s="35">
        <v>39</v>
      </c>
      <c r="B40" s="40">
        <f>'Mail merge'!H40</f>
        <v>0</v>
      </c>
      <c r="C40" s="66" t="s">
        <v>123</v>
      </c>
      <c r="D40" s="33" t="str">
        <f>'Mail merge'!AS40</f>
        <v/>
      </c>
      <c r="E40" s="34" t="str">
        <f>'Mail merge'!AT40</f>
        <v xml:space="preserve">  -NA-  </v>
      </c>
      <c r="F40" s="18" t="str">
        <f>'Mail merge'!AV40</f>
        <v xml:space="preserve">  -NA-  </v>
      </c>
      <c r="G40" s="19" t="str">
        <f>'Mail merge'!E40</f>
        <v/>
      </c>
      <c r="H40" s="41">
        <f>'Mail merge'!R40</f>
        <v>0</v>
      </c>
      <c r="I40" s="41">
        <f>'Mail merge'!S40</f>
        <v>0</v>
      </c>
      <c r="J40" s="19" t="str">
        <f>'Mail merge'!AW40</f>
        <v xml:space="preserve">  -NA-  </v>
      </c>
      <c r="K40" s="41" t="str">
        <f>'Mail merge'!BB40</f>
        <v xml:space="preserve">  -NA-  </v>
      </c>
      <c r="L40" s="19" t="str">
        <f>'Mail merge'!BC40</f>
        <v xml:space="preserve">  -NA-  </v>
      </c>
      <c r="M40" s="19" t="str">
        <f>'Mail merge'!BD40</f>
        <v xml:space="preserve">  -NA-  </v>
      </c>
      <c r="N40" s="20" t="str">
        <f>'Mail merge'!BA40</f>
        <v xml:space="preserve">  -NA-  </v>
      </c>
      <c r="O40" s="20">
        <v>0</v>
      </c>
      <c r="P40" s="20">
        <v>0</v>
      </c>
      <c r="Q40" s="20" t="e">
        <f t="shared" si="1"/>
        <v>#VALUE!</v>
      </c>
      <c r="R40" s="19" t="str">
        <f>'Mail merge'!BE40</f>
        <v xml:space="preserve">  -NA-  </v>
      </c>
    </row>
    <row r="41" spans="1:18" ht="20.25" x14ac:dyDescent="0.2">
      <c r="A41" s="35">
        <v>40</v>
      </c>
      <c r="B41" s="40">
        <f>'Mail merge'!H41</f>
        <v>0</v>
      </c>
      <c r="C41" s="66" t="s">
        <v>123</v>
      </c>
      <c r="D41" s="33" t="str">
        <f>'Mail merge'!AS41</f>
        <v/>
      </c>
      <c r="E41" s="34" t="str">
        <f>'Mail merge'!AT41</f>
        <v xml:space="preserve">  -NA-  </v>
      </c>
      <c r="F41" s="18" t="str">
        <f>'Mail merge'!AV41</f>
        <v xml:space="preserve">  -NA-  </v>
      </c>
      <c r="G41" s="19" t="str">
        <f>'Mail merge'!E41</f>
        <v/>
      </c>
      <c r="H41" s="41">
        <f>'Mail merge'!R41</f>
        <v>0</v>
      </c>
      <c r="I41" s="41">
        <f>'Mail merge'!S41</f>
        <v>0</v>
      </c>
      <c r="J41" s="19" t="str">
        <f>'Mail merge'!AW41</f>
        <v xml:space="preserve">  -NA-  </v>
      </c>
      <c r="K41" s="41" t="str">
        <f>'Mail merge'!BB41</f>
        <v xml:space="preserve">  -NA-  </v>
      </c>
      <c r="L41" s="19" t="str">
        <f>'Mail merge'!BC41</f>
        <v xml:space="preserve">  -NA-  </v>
      </c>
      <c r="M41" s="19" t="str">
        <f>'Mail merge'!BD41</f>
        <v xml:space="preserve">  -NA-  </v>
      </c>
      <c r="N41" s="20" t="str">
        <f>'Mail merge'!BA41</f>
        <v xml:space="preserve">  -NA-  </v>
      </c>
      <c r="O41" s="20">
        <v>0</v>
      </c>
      <c r="P41" s="20">
        <v>0</v>
      </c>
      <c r="Q41" s="20" t="e">
        <f t="shared" si="1"/>
        <v>#VALUE!</v>
      </c>
      <c r="R41" s="19" t="str">
        <f>'Mail merge'!BE41</f>
        <v xml:space="preserve">  -NA-  </v>
      </c>
    </row>
    <row r="42" spans="1:18" ht="20.25" x14ac:dyDescent="0.2">
      <c r="A42" s="35">
        <v>41</v>
      </c>
      <c r="B42" s="40">
        <f>'Mail merge'!H42</f>
        <v>0</v>
      </c>
      <c r="C42" s="66" t="s">
        <v>123</v>
      </c>
      <c r="D42" s="33" t="str">
        <f>'Mail merge'!AS42</f>
        <v/>
      </c>
      <c r="E42" s="34" t="str">
        <f>'Mail merge'!AT42</f>
        <v xml:space="preserve">  -NA-  </v>
      </c>
      <c r="F42" s="18" t="str">
        <f>'Mail merge'!AV42</f>
        <v xml:space="preserve">  -NA-  </v>
      </c>
      <c r="G42" s="19" t="str">
        <f>'Mail merge'!E42</f>
        <v/>
      </c>
      <c r="H42" s="41">
        <f>'Mail merge'!R42</f>
        <v>0</v>
      </c>
      <c r="I42" s="41">
        <f>'Mail merge'!S42</f>
        <v>0</v>
      </c>
      <c r="J42" s="19" t="str">
        <f>'Mail merge'!AW42</f>
        <v xml:space="preserve">  -NA-  </v>
      </c>
      <c r="K42" s="41" t="str">
        <f>'Mail merge'!BB42</f>
        <v xml:space="preserve">  -NA-  </v>
      </c>
      <c r="L42" s="19" t="str">
        <f>'Mail merge'!BC42</f>
        <v xml:space="preserve">  -NA-  </v>
      </c>
      <c r="M42" s="19" t="str">
        <f>'Mail merge'!BD42</f>
        <v xml:space="preserve">  -NA-  </v>
      </c>
      <c r="N42" s="20" t="str">
        <f>'Mail merge'!BA42</f>
        <v xml:space="preserve">  -NA-  </v>
      </c>
      <c r="O42" s="20">
        <v>0</v>
      </c>
      <c r="P42" s="20">
        <v>0</v>
      </c>
      <c r="Q42" s="20" t="e">
        <f t="shared" si="1"/>
        <v>#VALUE!</v>
      </c>
      <c r="R42" s="19" t="str">
        <f>'Mail merge'!BE42</f>
        <v xml:space="preserve">  -NA-  </v>
      </c>
    </row>
    <row r="43" spans="1:18" ht="20.25" x14ac:dyDescent="0.2">
      <c r="A43" s="35">
        <v>42</v>
      </c>
      <c r="B43" s="40">
        <f>'Mail merge'!H43</f>
        <v>0</v>
      </c>
      <c r="C43" s="66" t="s">
        <v>123</v>
      </c>
      <c r="D43" s="33" t="str">
        <f>'Mail merge'!AS43</f>
        <v/>
      </c>
      <c r="E43" s="34" t="str">
        <f>'Mail merge'!AT43</f>
        <v xml:space="preserve">  -NA-  </v>
      </c>
      <c r="F43" s="18" t="str">
        <f>'Mail merge'!AV43</f>
        <v xml:space="preserve">  -NA-  </v>
      </c>
      <c r="G43" s="19" t="str">
        <f>'Mail merge'!E43</f>
        <v/>
      </c>
      <c r="H43" s="41">
        <f>'Mail merge'!R43</f>
        <v>0</v>
      </c>
      <c r="I43" s="41">
        <f>'Mail merge'!S43</f>
        <v>0</v>
      </c>
      <c r="J43" s="19" t="str">
        <f>'Mail merge'!AW43</f>
        <v xml:space="preserve">  -NA-  </v>
      </c>
      <c r="K43" s="41" t="str">
        <f>'Mail merge'!BB43</f>
        <v xml:space="preserve">  -NA-  </v>
      </c>
      <c r="L43" s="19" t="str">
        <f>'Mail merge'!BC43</f>
        <v xml:space="preserve">  -NA-  </v>
      </c>
      <c r="M43" s="19" t="str">
        <f>'Mail merge'!BD43</f>
        <v xml:space="preserve">  -NA-  </v>
      </c>
      <c r="N43" s="20" t="str">
        <f>'Mail merge'!BA43</f>
        <v xml:space="preserve">  -NA-  </v>
      </c>
      <c r="O43" s="20">
        <v>0</v>
      </c>
      <c r="P43" s="20">
        <v>0</v>
      </c>
      <c r="Q43" s="20" t="e">
        <f t="shared" si="1"/>
        <v>#VALUE!</v>
      </c>
      <c r="R43" s="19" t="str">
        <f>'Mail merge'!BE43</f>
        <v xml:space="preserve">  -NA-  </v>
      </c>
    </row>
    <row r="44" spans="1:18" ht="20.25" x14ac:dyDescent="0.2">
      <c r="A44" s="35">
        <v>43</v>
      </c>
      <c r="B44" s="40">
        <f>'Mail merge'!H44</f>
        <v>0</v>
      </c>
      <c r="C44" s="66" t="s">
        <v>123</v>
      </c>
      <c r="D44" s="33">
        <f>'Mail merge'!AS44</f>
        <v>0</v>
      </c>
      <c r="E44" s="34">
        <f>'Mail merge'!AT44</f>
        <v>0</v>
      </c>
      <c r="F44" s="18">
        <f>'Mail merge'!AV44</f>
        <v>0</v>
      </c>
      <c r="G44" s="19">
        <f>'Mail merge'!E44</f>
        <v>0</v>
      </c>
      <c r="H44" s="41">
        <f>'Mail merge'!R44</f>
        <v>0</v>
      </c>
      <c r="I44" s="41">
        <f>'Mail merge'!S44</f>
        <v>0</v>
      </c>
      <c r="J44" s="19">
        <f>'Mail merge'!AW44</f>
        <v>0</v>
      </c>
      <c r="K44" s="41">
        <f>'Mail merge'!BB44</f>
        <v>0</v>
      </c>
      <c r="L44" s="19">
        <f>'Mail merge'!BC44</f>
        <v>0</v>
      </c>
      <c r="M44" s="19">
        <f>'Mail merge'!BD44</f>
        <v>0</v>
      </c>
      <c r="N44" s="20">
        <f>'Mail merge'!BA44</f>
        <v>0</v>
      </c>
      <c r="O44" s="20">
        <v>0</v>
      </c>
      <c r="P44" s="20">
        <v>0</v>
      </c>
      <c r="Q44" s="20">
        <f t="shared" si="1"/>
        <v>0</v>
      </c>
      <c r="R44" s="19">
        <f>'Mail merge'!BE44</f>
        <v>0</v>
      </c>
    </row>
    <row r="45" spans="1:18" ht="20.25" x14ac:dyDescent="0.2">
      <c r="A45" s="35">
        <v>44</v>
      </c>
      <c r="B45" s="40">
        <f>'Mail merge'!H45</f>
        <v>0</v>
      </c>
      <c r="C45" s="66" t="s">
        <v>123</v>
      </c>
      <c r="D45" s="33">
        <f>'Mail merge'!AS45</f>
        <v>0</v>
      </c>
      <c r="E45" s="34">
        <f>'Mail merge'!AT45</f>
        <v>0</v>
      </c>
      <c r="F45" s="18">
        <f>'Mail merge'!AV45</f>
        <v>0</v>
      </c>
      <c r="G45" s="19">
        <f>'Mail merge'!E45</f>
        <v>0</v>
      </c>
      <c r="H45" s="41">
        <f>'Mail merge'!R45</f>
        <v>0</v>
      </c>
      <c r="I45" s="41">
        <f>'Mail merge'!S45</f>
        <v>0</v>
      </c>
      <c r="J45" s="19">
        <f>'Mail merge'!AW45</f>
        <v>0</v>
      </c>
      <c r="K45" s="41">
        <f>'Mail merge'!BB45</f>
        <v>0</v>
      </c>
      <c r="L45" s="19">
        <f>'Mail merge'!BC45</f>
        <v>0</v>
      </c>
      <c r="M45" s="19">
        <f>'Mail merge'!BD45</f>
        <v>0</v>
      </c>
      <c r="N45" s="20">
        <f>'Mail merge'!BA45</f>
        <v>0</v>
      </c>
      <c r="O45" s="20">
        <v>0</v>
      </c>
      <c r="P45" s="20">
        <v>0</v>
      </c>
      <c r="Q45" s="20">
        <f t="shared" si="1"/>
        <v>0</v>
      </c>
      <c r="R45" s="19">
        <f>'Mail merge'!BE45</f>
        <v>0</v>
      </c>
    </row>
    <row r="46" spans="1:18" ht="20.25" x14ac:dyDescent="0.2">
      <c r="A46" s="35">
        <v>45</v>
      </c>
      <c r="B46" s="40">
        <f>'Mail merge'!H46</f>
        <v>0</v>
      </c>
      <c r="C46" s="66" t="s">
        <v>123</v>
      </c>
      <c r="D46" s="33">
        <f>'Mail merge'!AS46</f>
        <v>0</v>
      </c>
      <c r="E46" s="34">
        <f>'Mail merge'!AT46</f>
        <v>0</v>
      </c>
      <c r="F46" s="18">
        <f>'Mail merge'!AV46</f>
        <v>0</v>
      </c>
      <c r="G46" s="19">
        <f>'Mail merge'!E46</f>
        <v>0</v>
      </c>
      <c r="H46" s="41">
        <f>'Mail merge'!R46</f>
        <v>0</v>
      </c>
      <c r="I46" s="41">
        <f>'Mail merge'!S46</f>
        <v>0</v>
      </c>
      <c r="J46" s="19">
        <f>'Mail merge'!AW46</f>
        <v>0</v>
      </c>
      <c r="K46" s="41">
        <f>'Mail merge'!BB46</f>
        <v>0</v>
      </c>
      <c r="L46" s="19">
        <f>'Mail merge'!BC46</f>
        <v>0</v>
      </c>
      <c r="M46" s="19">
        <f>'Mail merge'!BD46</f>
        <v>0</v>
      </c>
      <c r="N46" s="20">
        <f>'Mail merge'!BA46</f>
        <v>0</v>
      </c>
      <c r="O46" s="20">
        <v>0</v>
      </c>
      <c r="P46" s="20">
        <v>0</v>
      </c>
      <c r="Q46" s="20">
        <f t="shared" si="1"/>
        <v>0</v>
      </c>
      <c r="R46" s="19">
        <f>'Mail merge'!BE46</f>
        <v>0</v>
      </c>
    </row>
    <row r="47" spans="1:18" ht="20.25" x14ac:dyDescent="0.2">
      <c r="A47" s="35">
        <v>46</v>
      </c>
      <c r="B47" s="40">
        <f>'Mail merge'!H47</f>
        <v>0</v>
      </c>
      <c r="C47" s="66" t="s">
        <v>123</v>
      </c>
      <c r="D47" s="33">
        <f>'Mail merge'!AS47</f>
        <v>0</v>
      </c>
      <c r="E47" s="34">
        <f>'Mail merge'!AT47</f>
        <v>0</v>
      </c>
      <c r="F47" s="18">
        <f>'Mail merge'!AV47</f>
        <v>0</v>
      </c>
      <c r="G47" s="19">
        <f>'Mail merge'!E47</f>
        <v>0</v>
      </c>
      <c r="H47" s="41">
        <f>'Mail merge'!R47</f>
        <v>0</v>
      </c>
      <c r="I47" s="41">
        <f>'Mail merge'!S47</f>
        <v>0</v>
      </c>
      <c r="J47" s="19">
        <f>'Mail merge'!AW47</f>
        <v>0</v>
      </c>
      <c r="K47" s="41">
        <f>'Mail merge'!BB47</f>
        <v>0</v>
      </c>
      <c r="L47" s="19">
        <f>'Mail merge'!BC47</f>
        <v>0</v>
      </c>
      <c r="M47" s="19">
        <f>'Mail merge'!BD47</f>
        <v>0</v>
      </c>
      <c r="N47" s="20">
        <f>'Mail merge'!BA47</f>
        <v>0</v>
      </c>
      <c r="O47" s="20">
        <v>0</v>
      </c>
      <c r="P47" s="20">
        <v>0</v>
      </c>
      <c r="Q47" s="20">
        <f t="shared" si="1"/>
        <v>0</v>
      </c>
      <c r="R47" s="19">
        <f>'Mail merge'!BE47</f>
        <v>0</v>
      </c>
    </row>
    <row r="48" spans="1:18" ht="20.25" x14ac:dyDescent="0.2">
      <c r="A48" s="35">
        <v>47</v>
      </c>
      <c r="B48" s="40">
        <f>'Mail merge'!H48</f>
        <v>0</v>
      </c>
      <c r="C48" s="66" t="s">
        <v>123</v>
      </c>
      <c r="D48" s="33">
        <f>'Mail merge'!AS48</f>
        <v>0</v>
      </c>
      <c r="E48" s="34">
        <f>'Mail merge'!AT48</f>
        <v>0</v>
      </c>
      <c r="F48" s="18">
        <f>'Mail merge'!AV48</f>
        <v>0</v>
      </c>
      <c r="G48" s="19">
        <f>'Mail merge'!E48</f>
        <v>0</v>
      </c>
      <c r="H48" s="41">
        <f>'Mail merge'!R48</f>
        <v>0</v>
      </c>
      <c r="I48" s="41">
        <f>'Mail merge'!S48</f>
        <v>0</v>
      </c>
      <c r="J48" s="19">
        <f>'Mail merge'!AW48</f>
        <v>0</v>
      </c>
      <c r="K48" s="41">
        <f>'Mail merge'!BB48</f>
        <v>0</v>
      </c>
      <c r="L48" s="19">
        <f>'Mail merge'!BC48</f>
        <v>0</v>
      </c>
      <c r="M48" s="19">
        <f>'Mail merge'!BD48</f>
        <v>0</v>
      </c>
      <c r="N48" s="20">
        <f>'Mail merge'!BA48</f>
        <v>0</v>
      </c>
      <c r="O48" s="20">
        <v>0</v>
      </c>
      <c r="P48" s="20">
        <v>0</v>
      </c>
      <c r="Q48" s="20">
        <f t="shared" si="1"/>
        <v>0</v>
      </c>
      <c r="R48" s="19">
        <f>'Mail merge'!BE48</f>
        <v>0</v>
      </c>
    </row>
    <row r="49" spans="1:18" ht="20.25" x14ac:dyDescent="0.2">
      <c r="A49" s="35">
        <v>48</v>
      </c>
      <c r="B49" s="40">
        <f>'Mail merge'!H49</f>
        <v>0</v>
      </c>
      <c r="C49" s="66" t="s">
        <v>123</v>
      </c>
      <c r="D49" s="33">
        <f>'Mail merge'!AS49</f>
        <v>0</v>
      </c>
      <c r="E49" s="34">
        <f>'Mail merge'!AT49</f>
        <v>0</v>
      </c>
      <c r="F49" s="18">
        <f>'Mail merge'!AV49</f>
        <v>0</v>
      </c>
      <c r="G49" s="19">
        <f>'Mail merge'!E49</f>
        <v>0</v>
      </c>
      <c r="H49" s="41">
        <f>'Mail merge'!R49</f>
        <v>0</v>
      </c>
      <c r="I49" s="41">
        <f>'Mail merge'!S49</f>
        <v>0</v>
      </c>
      <c r="J49" s="19">
        <f>'Mail merge'!AW49</f>
        <v>0</v>
      </c>
      <c r="K49" s="41">
        <f>'Mail merge'!BB49</f>
        <v>0</v>
      </c>
      <c r="L49" s="19">
        <f>'Mail merge'!BC49</f>
        <v>0</v>
      </c>
      <c r="M49" s="19">
        <f>'Mail merge'!BD49</f>
        <v>0</v>
      </c>
      <c r="N49" s="20">
        <f>'Mail merge'!BA49</f>
        <v>0</v>
      </c>
      <c r="O49" s="20">
        <v>0</v>
      </c>
      <c r="P49" s="20">
        <v>0</v>
      </c>
      <c r="Q49" s="20">
        <f t="shared" si="1"/>
        <v>0</v>
      </c>
      <c r="R49" s="19">
        <f>'Mail merge'!BE49</f>
        <v>0</v>
      </c>
    </row>
    <row r="50" spans="1:18" ht="20.25" x14ac:dyDescent="0.2">
      <c r="A50" s="35">
        <v>49</v>
      </c>
      <c r="B50" s="40">
        <f>'Mail merge'!H50</f>
        <v>0</v>
      </c>
      <c r="C50" s="66" t="s">
        <v>123</v>
      </c>
      <c r="D50" s="33">
        <f>'Mail merge'!AS50</f>
        <v>0</v>
      </c>
      <c r="E50" s="34">
        <f>'Mail merge'!AT50</f>
        <v>0</v>
      </c>
      <c r="F50" s="18">
        <f>'Mail merge'!AV50</f>
        <v>0</v>
      </c>
      <c r="G50" s="19">
        <f>'Mail merge'!E50</f>
        <v>0</v>
      </c>
      <c r="H50" s="41">
        <f>'Mail merge'!R50</f>
        <v>0</v>
      </c>
      <c r="I50" s="41">
        <f>'Mail merge'!S50</f>
        <v>0</v>
      </c>
      <c r="J50" s="19">
        <f>'Mail merge'!AW50</f>
        <v>0</v>
      </c>
      <c r="K50" s="41">
        <f>'Mail merge'!BB50</f>
        <v>0</v>
      </c>
      <c r="L50" s="19">
        <f>'Mail merge'!BC50</f>
        <v>0</v>
      </c>
      <c r="M50" s="19">
        <f>'Mail merge'!BD50</f>
        <v>0</v>
      </c>
      <c r="N50" s="20">
        <f>'Mail merge'!BA50</f>
        <v>0</v>
      </c>
      <c r="O50" s="20">
        <v>0</v>
      </c>
      <c r="P50" s="20">
        <v>0</v>
      </c>
      <c r="Q50" s="20">
        <f t="shared" si="1"/>
        <v>0</v>
      </c>
      <c r="R50" s="19">
        <f>'Mail merge'!BE50</f>
        <v>0</v>
      </c>
    </row>
    <row r="51" spans="1:18" ht="20.25" x14ac:dyDescent="0.2">
      <c r="A51" s="35">
        <v>50</v>
      </c>
      <c r="B51" s="40">
        <f>'Mail merge'!H51</f>
        <v>0</v>
      </c>
      <c r="C51" s="66" t="s">
        <v>123</v>
      </c>
      <c r="D51" s="33">
        <f>'Mail merge'!AS51</f>
        <v>0</v>
      </c>
      <c r="E51" s="34">
        <f>'Mail merge'!AT51</f>
        <v>0</v>
      </c>
      <c r="F51" s="18">
        <f>'Mail merge'!AV51</f>
        <v>0</v>
      </c>
      <c r="G51" s="19">
        <f>'Mail merge'!E51</f>
        <v>0</v>
      </c>
      <c r="H51" s="41">
        <f>'Mail merge'!R51</f>
        <v>0</v>
      </c>
      <c r="I51" s="41">
        <f>'Mail merge'!S51</f>
        <v>0</v>
      </c>
      <c r="J51" s="19">
        <f>'Mail merge'!AW51</f>
        <v>0</v>
      </c>
      <c r="K51" s="41">
        <f>'Mail merge'!BB51</f>
        <v>0</v>
      </c>
      <c r="L51" s="19">
        <f>'Mail merge'!BC51</f>
        <v>0</v>
      </c>
      <c r="M51" s="19">
        <f>'Mail merge'!BD51</f>
        <v>0</v>
      </c>
      <c r="N51" s="20">
        <f>'Mail merge'!BA51</f>
        <v>0</v>
      </c>
      <c r="O51" s="20">
        <v>0</v>
      </c>
      <c r="P51" s="20">
        <v>0</v>
      </c>
      <c r="Q51" s="20">
        <f t="shared" si="1"/>
        <v>0</v>
      </c>
      <c r="R51" s="19">
        <f>'Mail merge'!BE51</f>
        <v>0</v>
      </c>
    </row>
    <row r="52" spans="1:18" ht="20.25" x14ac:dyDescent="0.2">
      <c r="A52" s="35">
        <v>51</v>
      </c>
      <c r="B52" s="40">
        <f>'Mail merge'!H52</f>
        <v>0</v>
      </c>
      <c r="C52" s="66" t="s">
        <v>123</v>
      </c>
      <c r="D52" s="33">
        <f>'Mail merge'!AS52</f>
        <v>0</v>
      </c>
      <c r="E52" s="34">
        <f>'Mail merge'!AT52</f>
        <v>0</v>
      </c>
      <c r="F52" s="18">
        <f>'Mail merge'!AV52</f>
        <v>0</v>
      </c>
      <c r="G52" s="19">
        <f>'Mail merge'!E52</f>
        <v>0</v>
      </c>
      <c r="H52" s="41">
        <f>'Mail merge'!R52</f>
        <v>0</v>
      </c>
      <c r="I52" s="41">
        <f>'Mail merge'!S52</f>
        <v>0</v>
      </c>
      <c r="J52" s="19">
        <f>'Mail merge'!AW52</f>
        <v>0</v>
      </c>
      <c r="K52" s="41">
        <f>'Mail merge'!BB52</f>
        <v>0</v>
      </c>
      <c r="L52" s="19">
        <f>'Mail merge'!BC52</f>
        <v>0</v>
      </c>
      <c r="M52" s="19">
        <f>'Mail merge'!BD52</f>
        <v>0</v>
      </c>
      <c r="N52" s="20">
        <f>'Mail merge'!BA52</f>
        <v>0</v>
      </c>
      <c r="O52" s="20">
        <v>0</v>
      </c>
      <c r="P52" s="20">
        <v>0</v>
      </c>
      <c r="Q52" s="20">
        <f t="shared" si="1"/>
        <v>0</v>
      </c>
      <c r="R52" s="19">
        <f>'Mail merge'!BE52</f>
        <v>0</v>
      </c>
    </row>
    <row r="53" spans="1:18" ht="20.25" x14ac:dyDescent="0.2">
      <c r="A53" s="35">
        <v>52</v>
      </c>
      <c r="B53" s="40">
        <f>'Mail merge'!H53</f>
        <v>0</v>
      </c>
      <c r="C53" s="66" t="s">
        <v>123</v>
      </c>
      <c r="D53" s="33">
        <f>'Mail merge'!AS53</f>
        <v>0</v>
      </c>
      <c r="E53" s="34">
        <f>'Mail merge'!AT53</f>
        <v>0</v>
      </c>
      <c r="F53" s="18">
        <f>'Mail merge'!AV53</f>
        <v>0</v>
      </c>
      <c r="G53" s="19">
        <f>'Mail merge'!E53</f>
        <v>0</v>
      </c>
      <c r="H53" s="41">
        <f>'Mail merge'!R53</f>
        <v>0</v>
      </c>
      <c r="I53" s="41">
        <f>'Mail merge'!S53</f>
        <v>0</v>
      </c>
      <c r="J53" s="19">
        <f>'Mail merge'!AW53</f>
        <v>0</v>
      </c>
      <c r="K53" s="41">
        <f>'Mail merge'!BB53</f>
        <v>0</v>
      </c>
      <c r="L53" s="19">
        <f>'Mail merge'!BC53</f>
        <v>0</v>
      </c>
      <c r="M53" s="19">
        <f>'Mail merge'!BD53</f>
        <v>0</v>
      </c>
      <c r="N53" s="20">
        <f>'Mail merge'!BA53</f>
        <v>0</v>
      </c>
      <c r="O53" s="20">
        <v>0</v>
      </c>
      <c r="P53" s="20">
        <v>0</v>
      </c>
      <c r="Q53" s="20">
        <f t="shared" si="1"/>
        <v>0</v>
      </c>
      <c r="R53" s="19">
        <f>'Mail merge'!BE53</f>
        <v>0</v>
      </c>
    </row>
    <row r="54" spans="1:18" ht="20.25" x14ac:dyDescent="0.2">
      <c r="A54" s="35">
        <v>53</v>
      </c>
      <c r="B54" s="40">
        <f>'Mail merge'!H54</f>
        <v>0</v>
      </c>
      <c r="C54" s="66" t="s">
        <v>123</v>
      </c>
      <c r="D54" s="33">
        <f>'Mail merge'!AS54</f>
        <v>0</v>
      </c>
      <c r="E54" s="34">
        <f>'Mail merge'!AT54</f>
        <v>0</v>
      </c>
      <c r="F54" s="18">
        <f>'Mail merge'!AV54</f>
        <v>0</v>
      </c>
      <c r="G54" s="19">
        <f>'Mail merge'!E54</f>
        <v>0</v>
      </c>
      <c r="H54" s="41">
        <f>'Mail merge'!R54</f>
        <v>0</v>
      </c>
      <c r="I54" s="41">
        <f>'Mail merge'!S54</f>
        <v>0</v>
      </c>
      <c r="J54" s="19">
        <f>'Mail merge'!AW54</f>
        <v>0</v>
      </c>
      <c r="K54" s="41">
        <f>'Mail merge'!BB54</f>
        <v>0</v>
      </c>
      <c r="L54" s="19">
        <f>'Mail merge'!BC54</f>
        <v>0</v>
      </c>
      <c r="M54" s="19">
        <f>'Mail merge'!BD54</f>
        <v>0</v>
      </c>
      <c r="N54" s="20">
        <f>'Mail merge'!BA54</f>
        <v>0</v>
      </c>
      <c r="O54" s="20">
        <v>0</v>
      </c>
      <c r="P54" s="20">
        <v>0</v>
      </c>
      <c r="Q54" s="20">
        <f t="shared" si="1"/>
        <v>0</v>
      </c>
      <c r="R54" s="19">
        <f>'Mail merge'!BE54</f>
        <v>0</v>
      </c>
    </row>
    <row r="55" spans="1:18" ht="20.25" x14ac:dyDescent="0.2">
      <c r="A55" s="35">
        <v>54</v>
      </c>
      <c r="B55" s="40">
        <f>'Mail merge'!H55</f>
        <v>0</v>
      </c>
      <c r="C55" s="66" t="s">
        <v>123</v>
      </c>
      <c r="D55" s="33">
        <f>'Mail merge'!AS55</f>
        <v>0</v>
      </c>
      <c r="E55" s="34">
        <f>'Mail merge'!AT55</f>
        <v>0</v>
      </c>
      <c r="F55" s="18">
        <f>'Mail merge'!AV55</f>
        <v>0</v>
      </c>
      <c r="G55" s="19">
        <f>'Mail merge'!E55</f>
        <v>0</v>
      </c>
      <c r="H55" s="41">
        <f>'Mail merge'!R55</f>
        <v>0</v>
      </c>
      <c r="I55" s="41">
        <f>'Mail merge'!S55</f>
        <v>0</v>
      </c>
      <c r="J55" s="19">
        <f>'Mail merge'!AW55</f>
        <v>0</v>
      </c>
      <c r="K55" s="41">
        <f>'Mail merge'!BB55</f>
        <v>0</v>
      </c>
      <c r="L55" s="19">
        <f>'Mail merge'!BC55</f>
        <v>0</v>
      </c>
      <c r="M55" s="19">
        <f>'Mail merge'!BD55</f>
        <v>0</v>
      </c>
      <c r="N55" s="20">
        <f>'Mail merge'!BA55</f>
        <v>0</v>
      </c>
      <c r="O55" s="20">
        <v>0</v>
      </c>
      <c r="P55" s="20">
        <v>0</v>
      </c>
      <c r="Q55" s="20">
        <f t="shared" si="1"/>
        <v>0</v>
      </c>
      <c r="R55" s="19">
        <f>'Mail merge'!BE55</f>
        <v>0</v>
      </c>
    </row>
    <row r="56" spans="1:18" ht="20.25" x14ac:dyDescent="0.2">
      <c r="A56" s="35">
        <v>55</v>
      </c>
      <c r="B56" s="40">
        <f>'Mail merge'!H56</f>
        <v>0</v>
      </c>
      <c r="C56" s="66" t="s">
        <v>123</v>
      </c>
      <c r="D56" s="33">
        <f>'Mail merge'!AS56</f>
        <v>0</v>
      </c>
      <c r="E56" s="34">
        <f>'Mail merge'!AT56</f>
        <v>0</v>
      </c>
      <c r="F56" s="18">
        <f>'Mail merge'!AV56</f>
        <v>0</v>
      </c>
      <c r="G56" s="19">
        <f>'Mail merge'!E56</f>
        <v>0</v>
      </c>
      <c r="H56" s="41">
        <f>'Mail merge'!R56</f>
        <v>0</v>
      </c>
      <c r="I56" s="41">
        <f>'Mail merge'!S56</f>
        <v>0</v>
      </c>
      <c r="J56" s="19">
        <f>'Mail merge'!AW56</f>
        <v>0</v>
      </c>
      <c r="K56" s="41">
        <f>'Mail merge'!BB56</f>
        <v>0</v>
      </c>
      <c r="L56" s="19">
        <f>'Mail merge'!BC56</f>
        <v>0</v>
      </c>
      <c r="M56" s="19">
        <f>'Mail merge'!BD56</f>
        <v>0</v>
      </c>
      <c r="N56" s="20">
        <f>'Mail merge'!BA56</f>
        <v>0</v>
      </c>
      <c r="O56" s="20">
        <v>0</v>
      </c>
      <c r="P56" s="20">
        <v>0</v>
      </c>
      <c r="Q56" s="20">
        <f t="shared" si="1"/>
        <v>0</v>
      </c>
      <c r="R56" s="19">
        <f>'Mail merge'!BE56</f>
        <v>0</v>
      </c>
    </row>
    <row r="57" spans="1:18" ht="20.25" x14ac:dyDescent="0.2">
      <c r="A57" s="35">
        <v>56</v>
      </c>
      <c r="B57" s="40">
        <f>'Mail merge'!H57</f>
        <v>0</v>
      </c>
      <c r="C57" s="66" t="s">
        <v>123</v>
      </c>
      <c r="D57" s="33">
        <f>'Mail merge'!AS57</f>
        <v>0</v>
      </c>
      <c r="E57" s="34">
        <f>'Mail merge'!AT57</f>
        <v>0</v>
      </c>
      <c r="F57" s="18">
        <f>'Mail merge'!AV57</f>
        <v>0</v>
      </c>
      <c r="G57" s="19">
        <f>'Mail merge'!E57</f>
        <v>0</v>
      </c>
      <c r="H57" s="41">
        <f>'Mail merge'!R57</f>
        <v>0</v>
      </c>
      <c r="I57" s="41">
        <f>'Mail merge'!S57</f>
        <v>0</v>
      </c>
      <c r="J57" s="19">
        <f>'Mail merge'!AW57</f>
        <v>0</v>
      </c>
      <c r="K57" s="41">
        <f>'Mail merge'!BB57</f>
        <v>0</v>
      </c>
      <c r="L57" s="19">
        <f>'Mail merge'!BC57</f>
        <v>0</v>
      </c>
      <c r="M57" s="19">
        <f>'Mail merge'!BD57</f>
        <v>0</v>
      </c>
      <c r="N57" s="20">
        <f>'Mail merge'!BA57</f>
        <v>0</v>
      </c>
      <c r="O57" s="20">
        <v>0</v>
      </c>
      <c r="P57" s="20">
        <v>0</v>
      </c>
      <c r="Q57" s="20">
        <f t="shared" si="1"/>
        <v>0</v>
      </c>
      <c r="R57" s="19">
        <f>'Mail merge'!BE57</f>
        <v>0</v>
      </c>
    </row>
    <row r="58" spans="1:18" x14ac:dyDescent="0.2">
      <c r="L58" s="19">
        <f>'Mail merge'!BC58</f>
        <v>0</v>
      </c>
      <c r="R58" s="24">
        <f>'Mail merge'!BE58</f>
        <v>0</v>
      </c>
    </row>
    <row r="59" spans="1:18" x14ac:dyDescent="0.2">
      <c r="L59" s="19">
        <f>'Mail merge'!BC59</f>
        <v>0</v>
      </c>
      <c r="R59" s="24">
        <f>'Mail merge'!BE59</f>
        <v>0</v>
      </c>
    </row>
    <row r="60" spans="1:18" x14ac:dyDescent="0.2">
      <c r="L60" s="19">
        <f>'Mail merge'!BC60</f>
        <v>0</v>
      </c>
      <c r="R60" s="24">
        <f>'Mail merge'!BE60</f>
        <v>0</v>
      </c>
    </row>
    <row r="61" spans="1:18" x14ac:dyDescent="0.2">
      <c r="L61" s="19">
        <f>'Mail merge'!BC61</f>
        <v>0</v>
      </c>
      <c r="R61" s="24">
        <f>'Mail merge'!BE61</f>
        <v>0</v>
      </c>
    </row>
    <row r="62" spans="1:18" x14ac:dyDescent="0.2">
      <c r="L62" s="19">
        <f>'Mail merge'!BC62</f>
        <v>0</v>
      </c>
      <c r="R62" s="24">
        <f>'Mail merge'!BE62</f>
        <v>0</v>
      </c>
    </row>
    <row r="63" spans="1:18" x14ac:dyDescent="0.2">
      <c r="L63" s="19">
        <f>'Mail merge'!BC63</f>
        <v>0</v>
      </c>
      <c r="R63" s="24">
        <f>'Mail merge'!BE63</f>
        <v>0</v>
      </c>
    </row>
    <row r="64" spans="1:18" x14ac:dyDescent="0.2">
      <c r="L64" s="19">
        <f>'Mail merge'!BC64</f>
        <v>0</v>
      </c>
      <c r="R64" s="24">
        <f>'Mail merge'!BE64</f>
        <v>0</v>
      </c>
    </row>
    <row r="65" spans="12:18" x14ac:dyDescent="0.2">
      <c r="L65" s="19">
        <f>'Mail merge'!BC65</f>
        <v>0</v>
      </c>
      <c r="R65" s="24">
        <f>'Mail merge'!BE65</f>
        <v>0</v>
      </c>
    </row>
    <row r="66" spans="12:18" x14ac:dyDescent="0.2">
      <c r="L66" s="19">
        <f>'Mail merge'!BC66</f>
        <v>0</v>
      </c>
      <c r="R66" s="24">
        <f>'Mail merge'!BE66</f>
        <v>0</v>
      </c>
    </row>
    <row r="67" spans="12:18" x14ac:dyDescent="0.2">
      <c r="L67" s="19">
        <f>'Mail merge'!BC67</f>
        <v>0</v>
      </c>
      <c r="R67" s="24">
        <f>'Mail merge'!BE67</f>
        <v>0</v>
      </c>
    </row>
    <row r="68" spans="12:18" x14ac:dyDescent="0.2">
      <c r="L68" s="19">
        <f>'Mail merge'!BC68</f>
        <v>0</v>
      </c>
      <c r="R68" s="24">
        <f>'Mail merge'!BE68</f>
        <v>0</v>
      </c>
    </row>
    <row r="69" spans="12:18" x14ac:dyDescent="0.2">
      <c r="L69" s="19">
        <f>'Mail merge'!BC69</f>
        <v>0</v>
      </c>
      <c r="R69" s="24">
        <f>'Mail merge'!BE69</f>
        <v>0</v>
      </c>
    </row>
    <row r="70" spans="12:18" x14ac:dyDescent="0.2">
      <c r="L70" s="19">
        <f>'Mail merge'!BC70</f>
        <v>0</v>
      </c>
      <c r="R70" s="24">
        <f>'Mail merge'!BE70</f>
        <v>0</v>
      </c>
    </row>
    <row r="71" spans="12:18" x14ac:dyDescent="0.2">
      <c r="L71" s="19">
        <f>'Mail merge'!BC71</f>
        <v>0</v>
      </c>
      <c r="R71" s="24">
        <f>'Mail merge'!BE71</f>
        <v>0</v>
      </c>
    </row>
    <row r="72" spans="12:18" x14ac:dyDescent="0.2">
      <c r="L72" s="19">
        <f>'Mail merge'!BC72</f>
        <v>0</v>
      </c>
      <c r="R72" s="24">
        <f>'Mail merge'!BE72</f>
        <v>0</v>
      </c>
    </row>
    <row r="73" spans="12:18" x14ac:dyDescent="0.2">
      <c r="L73" s="19">
        <f>'Mail merge'!BC73</f>
        <v>0</v>
      </c>
      <c r="R73" s="24">
        <f>'Mail merge'!BE73</f>
        <v>0</v>
      </c>
    </row>
    <row r="74" spans="12:18" x14ac:dyDescent="0.2">
      <c r="L74" s="19">
        <f>'Mail merge'!BC74</f>
        <v>0</v>
      </c>
      <c r="R74" s="24">
        <f>'Mail merge'!BE74</f>
        <v>0</v>
      </c>
    </row>
    <row r="75" spans="12:18" x14ac:dyDescent="0.2">
      <c r="L75" s="19">
        <f>'Mail merge'!BC75</f>
        <v>0</v>
      </c>
      <c r="R75" s="24">
        <f>'Mail merge'!BE75</f>
        <v>0</v>
      </c>
    </row>
    <row r="76" spans="12:18" x14ac:dyDescent="0.2">
      <c r="L76" s="19">
        <f>'Mail merge'!BC76</f>
        <v>0</v>
      </c>
      <c r="R76" s="24">
        <f>'Mail merge'!BE76</f>
        <v>0</v>
      </c>
    </row>
  </sheetData>
  <mergeCells count="1">
    <mergeCell ref="D1:E1"/>
  </mergeCells>
  <pageMargins left="0.35433070866141736" right="0.19685039370078741" top="0.39370078740157483" bottom="0.39370078740157483" header="0.35433070866141736" footer="0.47244094488188981"/>
  <pageSetup paperSize="8" scale="7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B0F0"/>
  </sheetPr>
  <dimension ref="A1:R101"/>
  <sheetViews>
    <sheetView zoomScale="70" zoomScaleNormal="70" zoomScaleSheetLayoutView="70" workbookViewId="0">
      <selection activeCell="A2" sqref="A2:R17"/>
    </sheetView>
  </sheetViews>
  <sheetFormatPr defaultColWidth="9.140625" defaultRowHeight="15.75" x14ac:dyDescent="0.2"/>
  <cols>
    <col min="1" max="1" width="6.85546875" style="29" customWidth="1"/>
    <col min="2" max="2" width="15.5703125" style="22" customWidth="1"/>
    <col min="3" max="3" width="23.42578125" style="21" customWidth="1"/>
    <col min="4" max="4" width="7" style="30" customWidth="1"/>
    <col min="5" max="5" width="31" style="21" customWidth="1"/>
    <col min="6" max="6" width="14.85546875" style="21" customWidth="1"/>
    <col min="7" max="7" width="13.85546875" style="23" customWidth="1"/>
    <col min="8" max="8" width="11.28515625" style="21" customWidth="1"/>
    <col min="9" max="9" width="10.85546875" style="21" customWidth="1"/>
    <col min="10" max="10" width="41" style="21" customWidth="1"/>
    <col min="11" max="11" width="24.42578125" style="21" customWidth="1"/>
    <col min="12" max="12" width="27.140625" style="24" customWidth="1"/>
    <col min="13" max="13" width="18.28515625" style="24" customWidth="1"/>
    <col min="14" max="16" width="10" style="21" customWidth="1"/>
    <col min="17" max="17" width="17.85546875" style="21" customWidth="1"/>
    <col min="18" max="18" width="12.42578125" style="14" customWidth="1"/>
    <col min="19" max="19" width="10.5703125" style="14" customWidth="1"/>
    <col min="20" max="16384" width="9.140625" style="14"/>
  </cols>
  <sheetData>
    <row r="1" spans="1:18" s="17" customFormat="1" ht="67.5" customHeight="1" x14ac:dyDescent="0.25">
      <c r="A1" s="31" t="s">
        <v>302</v>
      </c>
      <c r="B1" s="32" t="s">
        <v>303</v>
      </c>
      <c r="C1" s="15" t="s">
        <v>304</v>
      </c>
      <c r="D1" s="160" t="s">
        <v>305</v>
      </c>
      <c r="E1" s="161"/>
      <c r="F1" s="15" t="s">
        <v>318</v>
      </c>
      <c r="G1" s="15" t="s">
        <v>306</v>
      </c>
      <c r="H1" s="15" t="s">
        <v>319</v>
      </c>
      <c r="I1" s="15" t="s">
        <v>320</v>
      </c>
      <c r="J1" s="15" t="s">
        <v>307</v>
      </c>
      <c r="K1" s="15" t="s">
        <v>308</v>
      </c>
      <c r="L1" s="16" t="s">
        <v>309</v>
      </c>
      <c r="M1" s="16" t="s">
        <v>310</v>
      </c>
      <c r="N1" s="15" t="s">
        <v>311</v>
      </c>
      <c r="O1" s="15" t="s">
        <v>117</v>
      </c>
      <c r="P1" s="15" t="s">
        <v>120</v>
      </c>
      <c r="Q1" s="15" t="s">
        <v>312</v>
      </c>
      <c r="R1" s="16" t="s">
        <v>396</v>
      </c>
    </row>
    <row r="2" spans="1:18" s="21" customFormat="1" ht="44.25" customHeight="1" x14ac:dyDescent="0.25">
      <c r="A2" s="35">
        <v>1</v>
      </c>
      <c r="B2" s="40" t="str">
        <f>'Mail merge'!H2</f>
        <v>06.06.2026</v>
      </c>
      <c r="C2" s="66" t="s">
        <v>125</v>
      </c>
      <c r="D2" s="33" t="str">
        <f>'Mail merge'!BH2</f>
        <v/>
      </c>
      <c r="E2" s="34" t="str">
        <f>'Mail merge'!BI2</f>
        <v xml:space="preserve">  -NA-  </v>
      </c>
      <c r="F2" s="18" t="str">
        <f>'Mail merge'!BJ2</f>
        <v xml:space="preserve">  -NA-  </v>
      </c>
      <c r="G2" s="19" t="str">
        <f>'Mail merge'!E2</f>
        <v>GEA1107</v>
      </c>
      <c r="H2" s="41">
        <f>'Mail merge'!R2</f>
        <v>23</v>
      </c>
      <c r="I2" s="41">
        <f>'Mail merge'!S2</f>
        <v>22</v>
      </c>
      <c r="J2" s="19" t="str">
        <f>'Mail merge'!BK2</f>
        <v xml:space="preserve">  -NA-  </v>
      </c>
      <c r="K2" s="41" t="str">
        <f>'Mail merge'!BP2</f>
        <v xml:space="preserve">  -NA-  </v>
      </c>
      <c r="L2" s="19" t="str">
        <f>'Mail merge'!BQ2</f>
        <v xml:space="preserve">  -NA-  </v>
      </c>
      <c r="M2" s="19" t="str">
        <f>'Mail merge'!BR2</f>
        <v xml:space="preserve">  -NA-  </v>
      </c>
      <c r="N2" s="20" t="str">
        <f>'Mail merge'!BO2</f>
        <v xml:space="preserve">  -NA-  </v>
      </c>
      <c r="O2" s="20">
        <v>0</v>
      </c>
      <c r="P2" s="20">
        <v>0</v>
      </c>
      <c r="Q2" s="20" t="e">
        <f>N2+O2+P2</f>
        <v>#VALUE!</v>
      </c>
      <c r="R2" s="19" t="str">
        <f>'Mail merge'!BS2</f>
        <v xml:space="preserve">  -NA-  </v>
      </c>
    </row>
    <row r="3" spans="1:18" s="21" customFormat="1" ht="39.75" customHeight="1" x14ac:dyDescent="0.25">
      <c r="A3" s="35">
        <v>2</v>
      </c>
      <c r="B3" s="40">
        <f>'Mail merge'!H3</f>
        <v>0</v>
      </c>
      <c r="C3" s="66" t="s">
        <v>125</v>
      </c>
      <c r="D3" s="33" t="str">
        <f>'Mail merge'!BH3</f>
        <v/>
      </c>
      <c r="E3" s="34" t="str">
        <f>'Mail merge'!BI3</f>
        <v xml:space="preserve">  -NA-  </v>
      </c>
      <c r="F3" s="18" t="str">
        <f>'Mail merge'!BJ3</f>
        <v xml:space="preserve">  -NA-  </v>
      </c>
      <c r="G3" s="19" t="str">
        <f>'Mail merge'!E3</f>
        <v/>
      </c>
      <c r="H3" s="41">
        <f>'Mail merge'!R3</f>
        <v>0</v>
      </c>
      <c r="I3" s="41">
        <f>'Mail merge'!S3</f>
        <v>0</v>
      </c>
      <c r="J3" s="19" t="str">
        <f>'Mail merge'!BK3</f>
        <v xml:space="preserve">  -NA-  </v>
      </c>
      <c r="K3" s="41" t="str">
        <f>'Mail merge'!BP3</f>
        <v xml:space="preserve">  -NA-  </v>
      </c>
      <c r="L3" s="19" t="str">
        <f>'Mail merge'!BQ3</f>
        <v xml:space="preserve">  -NA-  </v>
      </c>
      <c r="M3" s="19" t="str">
        <f>'Mail merge'!BR3</f>
        <v xml:space="preserve">  -NA-  </v>
      </c>
      <c r="N3" s="20" t="str">
        <f>'Mail merge'!BO3</f>
        <v xml:space="preserve">  -NA-  </v>
      </c>
      <c r="O3" s="20">
        <v>0</v>
      </c>
      <c r="P3" s="20">
        <v>0</v>
      </c>
      <c r="Q3" s="20" t="e">
        <f t="shared" ref="Q3:Q37" si="0">N3+O3+P3</f>
        <v>#VALUE!</v>
      </c>
      <c r="R3" s="19" t="str">
        <f>'Mail merge'!BS3</f>
        <v xml:space="preserve">  -NA-  </v>
      </c>
    </row>
    <row r="4" spans="1:18" s="21" customFormat="1" ht="39.75" customHeight="1" x14ac:dyDescent="0.25">
      <c r="A4" s="35">
        <v>3</v>
      </c>
      <c r="B4" s="40">
        <f>'Mail merge'!H4</f>
        <v>0</v>
      </c>
      <c r="C4" s="66" t="s">
        <v>125</v>
      </c>
      <c r="D4" s="33" t="str">
        <f>'Mail merge'!BH4</f>
        <v/>
      </c>
      <c r="E4" s="34" t="str">
        <f>'Mail merge'!BI4</f>
        <v xml:space="preserve">  -NA-  </v>
      </c>
      <c r="F4" s="18" t="str">
        <f>'Mail merge'!BJ4</f>
        <v xml:space="preserve">  -NA-  </v>
      </c>
      <c r="G4" s="19" t="str">
        <f>'Mail merge'!E4</f>
        <v/>
      </c>
      <c r="H4" s="41">
        <f>'Mail merge'!R4</f>
        <v>0</v>
      </c>
      <c r="I4" s="41">
        <f>'Mail merge'!S4</f>
        <v>0</v>
      </c>
      <c r="J4" s="19" t="str">
        <f>'Mail merge'!BK4</f>
        <v xml:space="preserve">  -NA-  </v>
      </c>
      <c r="K4" s="41" t="str">
        <f>'Mail merge'!BP4</f>
        <v xml:space="preserve">  -NA-  </v>
      </c>
      <c r="L4" s="19" t="str">
        <f>'Mail merge'!BQ4</f>
        <v xml:space="preserve">  -NA-  </v>
      </c>
      <c r="M4" s="19" t="str">
        <f>'Mail merge'!BR4</f>
        <v xml:space="preserve">  -NA-  </v>
      </c>
      <c r="N4" s="20" t="str">
        <f>'Mail merge'!BO4</f>
        <v xml:space="preserve">  -NA-  </v>
      </c>
      <c r="O4" s="20">
        <v>0</v>
      </c>
      <c r="P4" s="20">
        <v>0</v>
      </c>
      <c r="Q4" s="20" t="e">
        <f t="shared" si="0"/>
        <v>#VALUE!</v>
      </c>
      <c r="R4" s="19" t="str">
        <f>'Mail merge'!BS4</f>
        <v xml:space="preserve">  -NA-  </v>
      </c>
    </row>
    <row r="5" spans="1:18" s="21" customFormat="1" ht="39.75" customHeight="1" x14ac:dyDescent="0.25">
      <c r="A5" s="35">
        <v>4</v>
      </c>
      <c r="B5" s="40">
        <f>'Mail merge'!H5</f>
        <v>0</v>
      </c>
      <c r="C5" s="66" t="s">
        <v>125</v>
      </c>
      <c r="D5" s="33" t="str">
        <f>'Mail merge'!BH5</f>
        <v/>
      </c>
      <c r="E5" s="34" t="str">
        <f>'Mail merge'!BI5</f>
        <v xml:space="preserve">  -NA-  </v>
      </c>
      <c r="F5" s="18" t="str">
        <f>'Mail merge'!BJ5</f>
        <v xml:space="preserve">  -NA-  </v>
      </c>
      <c r="G5" s="19" t="str">
        <f>'Mail merge'!E5</f>
        <v/>
      </c>
      <c r="H5" s="41">
        <f>'Mail merge'!R5</f>
        <v>0</v>
      </c>
      <c r="I5" s="41">
        <f>'Mail merge'!S5</f>
        <v>0</v>
      </c>
      <c r="J5" s="19" t="str">
        <f>'Mail merge'!BK5</f>
        <v xml:space="preserve">  -NA-  </v>
      </c>
      <c r="K5" s="41" t="str">
        <f>'Mail merge'!BP5</f>
        <v xml:space="preserve">  -NA-  </v>
      </c>
      <c r="L5" s="19" t="str">
        <f>'Mail merge'!BQ5</f>
        <v xml:space="preserve">  -NA-  </v>
      </c>
      <c r="M5" s="19" t="str">
        <f>'Mail merge'!BR5</f>
        <v xml:space="preserve">  -NA-  </v>
      </c>
      <c r="N5" s="20" t="str">
        <f>'Mail merge'!BO5</f>
        <v xml:space="preserve">  -NA-  </v>
      </c>
      <c r="O5" s="20">
        <v>0</v>
      </c>
      <c r="P5" s="20">
        <v>0</v>
      </c>
      <c r="Q5" s="20" t="e">
        <f t="shared" si="0"/>
        <v>#VALUE!</v>
      </c>
      <c r="R5" s="19" t="str">
        <f>'Mail merge'!BS5</f>
        <v xml:space="preserve">  -NA-  </v>
      </c>
    </row>
    <row r="6" spans="1:18" s="21" customFormat="1" ht="39.75" customHeight="1" x14ac:dyDescent="0.25">
      <c r="A6" s="35">
        <v>5</v>
      </c>
      <c r="B6" s="40">
        <f>'Mail merge'!H6</f>
        <v>0</v>
      </c>
      <c r="C6" s="66" t="s">
        <v>125</v>
      </c>
      <c r="D6" s="33" t="str">
        <f>'Mail merge'!BH6</f>
        <v/>
      </c>
      <c r="E6" s="34" t="str">
        <f>'Mail merge'!BI6</f>
        <v xml:space="preserve">  -NA-  </v>
      </c>
      <c r="F6" s="18" t="str">
        <f>'Mail merge'!BJ6</f>
        <v xml:space="preserve">  -NA-  </v>
      </c>
      <c r="G6" s="19" t="str">
        <f>'Mail merge'!E6</f>
        <v/>
      </c>
      <c r="H6" s="41">
        <f>'Mail merge'!R6</f>
        <v>0</v>
      </c>
      <c r="I6" s="41">
        <f>'Mail merge'!S6</f>
        <v>0</v>
      </c>
      <c r="J6" s="19" t="str">
        <f>'Mail merge'!BK6</f>
        <v xml:space="preserve">  -NA-  </v>
      </c>
      <c r="K6" s="41" t="str">
        <f>'Mail merge'!BP6</f>
        <v xml:space="preserve">  -NA-  </v>
      </c>
      <c r="L6" s="19" t="str">
        <f>'Mail merge'!BQ6</f>
        <v xml:space="preserve">  -NA-  </v>
      </c>
      <c r="M6" s="19" t="str">
        <f>'Mail merge'!BR6</f>
        <v xml:space="preserve">  -NA-  </v>
      </c>
      <c r="N6" s="20" t="str">
        <f>'Mail merge'!BO6</f>
        <v xml:space="preserve">  -NA-  </v>
      </c>
      <c r="O6" s="20">
        <v>0</v>
      </c>
      <c r="P6" s="20">
        <v>0</v>
      </c>
      <c r="Q6" s="20" t="e">
        <f t="shared" si="0"/>
        <v>#VALUE!</v>
      </c>
      <c r="R6" s="19" t="str">
        <f>'Mail merge'!BS6</f>
        <v xml:space="preserve">  -NA-  </v>
      </c>
    </row>
    <row r="7" spans="1:18" s="21" customFormat="1" ht="44.25" customHeight="1" x14ac:dyDescent="0.25">
      <c r="A7" s="35">
        <v>6</v>
      </c>
      <c r="B7" s="40">
        <f>'Mail merge'!H7</f>
        <v>0</v>
      </c>
      <c r="C7" s="66" t="s">
        <v>125</v>
      </c>
      <c r="D7" s="33" t="str">
        <f>'Mail merge'!BH7</f>
        <v/>
      </c>
      <c r="E7" s="34" t="str">
        <f>'Mail merge'!BI7</f>
        <v xml:space="preserve">  -NA-  </v>
      </c>
      <c r="F7" s="18" t="str">
        <f>'Mail merge'!BJ7</f>
        <v xml:space="preserve">  -NA-  </v>
      </c>
      <c r="G7" s="19" t="str">
        <f>'Mail merge'!E7</f>
        <v/>
      </c>
      <c r="H7" s="41">
        <f>'Mail merge'!R7</f>
        <v>0</v>
      </c>
      <c r="I7" s="41">
        <f>'Mail merge'!S7</f>
        <v>0</v>
      </c>
      <c r="J7" s="19" t="str">
        <f>'Mail merge'!BK7</f>
        <v xml:space="preserve">  -NA-  </v>
      </c>
      <c r="K7" s="41" t="str">
        <f>'Mail merge'!BP7</f>
        <v xml:space="preserve">  -NA-  </v>
      </c>
      <c r="L7" s="19" t="str">
        <f>'Mail merge'!BQ7</f>
        <v xml:space="preserve">  -NA-  </v>
      </c>
      <c r="M7" s="19" t="str">
        <f>'Mail merge'!BR7</f>
        <v xml:space="preserve">  -NA-  </v>
      </c>
      <c r="N7" s="20" t="str">
        <f>'Mail merge'!BO7</f>
        <v xml:space="preserve">  -NA-  </v>
      </c>
      <c r="O7" s="20">
        <v>0</v>
      </c>
      <c r="P7" s="20">
        <v>0</v>
      </c>
      <c r="Q7" s="20" t="e">
        <f t="shared" si="0"/>
        <v>#VALUE!</v>
      </c>
      <c r="R7" s="19" t="str">
        <f>'Mail merge'!BS7</f>
        <v xml:space="preserve">  -NA-  </v>
      </c>
    </row>
    <row r="8" spans="1:18" s="21" customFormat="1" ht="39.75" customHeight="1" x14ac:dyDescent="0.25">
      <c r="A8" s="35">
        <v>7</v>
      </c>
      <c r="B8" s="40">
        <f>'Mail merge'!H8</f>
        <v>0</v>
      </c>
      <c r="C8" s="66" t="s">
        <v>125</v>
      </c>
      <c r="D8" s="33" t="str">
        <f>'Mail merge'!BH8</f>
        <v/>
      </c>
      <c r="E8" s="34" t="str">
        <f>'Mail merge'!BI8</f>
        <v xml:space="preserve">  -NA-  </v>
      </c>
      <c r="F8" s="18" t="str">
        <f>'Mail merge'!BJ8</f>
        <v xml:space="preserve">  -NA-  </v>
      </c>
      <c r="G8" s="19" t="str">
        <f>'Mail merge'!E8</f>
        <v/>
      </c>
      <c r="H8" s="41">
        <f>'Mail merge'!R8</f>
        <v>0</v>
      </c>
      <c r="I8" s="41">
        <f>'Mail merge'!S8</f>
        <v>0</v>
      </c>
      <c r="J8" s="19" t="str">
        <f>'Mail merge'!BK8</f>
        <v xml:space="preserve">  -NA-  </v>
      </c>
      <c r="K8" s="41" t="str">
        <f>'Mail merge'!BP8</f>
        <v xml:space="preserve">  -NA-  </v>
      </c>
      <c r="L8" s="19" t="str">
        <f>'Mail merge'!BQ8</f>
        <v xml:space="preserve">  -NA-  </v>
      </c>
      <c r="M8" s="19" t="str">
        <f>'Mail merge'!BR8</f>
        <v xml:space="preserve">  -NA-  </v>
      </c>
      <c r="N8" s="20" t="str">
        <f>'Mail merge'!BO8</f>
        <v xml:space="preserve">  -NA-  </v>
      </c>
      <c r="O8" s="20">
        <v>0</v>
      </c>
      <c r="P8" s="20">
        <v>0</v>
      </c>
      <c r="Q8" s="20" t="e">
        <f t="shared" si="0"/>
        <v>#VALUE!</v>
      </c>
      <c r="R8" s="19" t="str">
        <f>'Mail merge'!BS8</f>
        <v xml:space="preserve">  -NA-  </v>
      </c>
    </row>
    <row r="9" spans="1:18" s="21" customFormat="1" ht="44.25" customHeight="1" x14ac:dyDescent="0.25">
      <c r="A9" s="35">
        <v>8</v>
      </c>
      <c r="B9" s="40">
        <f>'Mail merge'!H9</f>
        <v>0</v>
      </c>
      <c r="C9" s="66" t="s">
        <v>125</v>
      </c>
      <c r="D9" s="33" t="str">
        <f>'Mail merge'!BH9</f>
        <v/>
      </c>
      <c r="E9" s="34" t="str">
        <f>'Mail merge'!BI9</f>
        <v xml:space="preserve">  -NA-  </v>
      </c>
      <c r="F9" s="18" t="str">
        <f>'Mail merge'!BJ9</f>
        <v xml:space="preserve">  -NA-  </v>
      </c>
      <c r="G9" s="19" t="str">
        <f>'Mail merge'!E9</f>
        <v/>
      </c>
      <c r="H9" s="41">
        <f>'Mail merge'!R9</f>
        <v>0</v>
      </c>
      <c r="I9" s="41">
        <f>'Mail merge'!S9</f>
        <v>0</v>
      </c>
      <c r="J9" s="19" t="str">
        <f>'Mail merge'!BK9</f>
        <v xml:space="preserve">  -NA-  </v>
      </c>
      <c r="K9" s="41" t="str">
        <f>'Mail merge'!BP9</f>
        <v xml:space="preserve">  -NA-  </v>
      </c>
      <c r="L9" s="19" t="str">
        <f>'Mail merge'!BQ9</f>
        <v xml:space="preserve">  -NA-  </v>
      </c>
      <c r="M9" s="19" t="str">
        <f>'Mail merge'!BR9</f>
        <v xml:space="preserve">  -NA-  </v>
      </c>
      <c r="N9" s="20" t="str">
        <f>'Mail merge'!BO9</f>
        <v xml:space="preserve">  -NA-  </v>
      </c>
      <c r="O9" s="20">
        <v>0</v>
      </c>
      <c r="P9" s="20">
        <v>0</v>
      </c>
      <c r="Q9" s="20" t="e">
        <f t="shared" si="0"/>
        <v>#VALUE!</v>
      </c>
      <c r="R9" s="19" t="str">
        <f>'Mail merge'!BS9</f>
        <v xml:space="preserve">  -NA-  </v>
      </c>
    </row>
    <row r="10" spans="1:18" s="21" customFormat="1" ht="39.75" customHeight="1" x14ac:dyDescent="0.25">
      <c r="A10" s="35">
        <v>9</v>
      </c>
      <c r="B10" s="40">
        <f>'Mail merge'!H10</f>
        <v>0</v>
      </c>
      <c r="C10" s="66" t="s">
        <v>125</v>
      </c>
      <c r="D10" s="33" t="str">
        <f>'Mail merge'!BH10</f>
        <v/>
      </c>
      <c r="E10" s="34" t="str">
        <f>'Mail merge'!BI10</f>
        <v xml:space="preserve">  -NA-  </v>
      </c>
      <c r="F10" s="18" t="str">
        <f>'Mail merge'!BJ10</f>
        <v xml:space="preserve">  -NA-  </v>
      </c>
      <c r="G10" s="19" t="str">
        <f>'Mail merge'!E10</f>
        <v/>
      </c>
      <c r="H10" s="41">
        <f>'Mail merge'!R10</f>
        <v>0</v>
      </c>
      <c r="I10" s="41">
        <f>'Mail merge'!S10</f>
        <v>0</v>
      </c>
      <c r="J10" s="19" t="str">
        <f>'Mail merge'!BK10</f>
        <v xml:space="preserve">  -NA-  </v>
      </c>
      <c r="K10" s="41" t="str">
        <f>'Mail merge'!BP10</f>
        <v xml:space="preserve">  -NA-  </v>
      </c>
      <c r="L10" s="19" t="str">
        <f>'Mail merge'!BQ10</f>
        <v xml:space="preserve">  -NA-  </v>
      </c>
      <c r="M10" s="19" t="str">
        <f>'Mail merge'!BR10</f>
        <v xml:space="preserve">  -NA-  </v>
      </c>
      <c r="N10" s="20" t="str">
        <f>'Mail merge'!BO10</f>
        <v xml:space="preserve">  -NA-  </v>
      </c>
      <c r="O10" s="20">
        <v>0</v>
      </c>
      <c r="P10" s="20">
        <v>0</v>
      </c>
      <c r="Q10" s="20" t="e">
        <f t="shared" si="0"/>
        <v>#VALUE!</v>
      </c>
      <c r="R10" s="19" t="str">
        <f>'Mail merge'!BS10</f>
        <v xml:space="preserve">  -NA-  </v>
      </c>
    </row>
    <row r="11" spans="1:18" s="21" customFormat="1" ht="39.75" customHeight="1" x14ac:dyDescent="0.25">
      <c r="A11" s="35">
        <v>10</v>
      </c>
      <c r="B11" s="40">
        <f>'Mail merge'!H11</f>
        <v>0</v>
      </c>
      <c r="C11" s="66" t="s">
        <v>125</v>
      </c>
      <c r="D11" s="33" t="str">
        <f>'Mail merge'!BH11</f>
        <v/>
      </c>
      <c r="E11" s="34" t="str">
        <f>'Mail merge'!BI11</f>
        <v xml:space="preserve">  -NA-  </v>
      </c>
      <c r="F11" s="18" t="str">
        <f>'Mail merge'!BJ11</f>
        <v xml:space="preserve">  -NA-  </v>
      </c>
      <c r="G11" s="19" t="str">
        <f>'Mail merge'!E11</f>
        <v/>
      </c>
      <c r="H11" s="41">
        <f>'Mail merge'!R11</f>
        <v>0</v>
      </c>
      <c r="I11" s="41">
        <f>'Mail merge'!S11</f>
        <v>0</v>
      </c>
      <c r="J11" s="19" t="str">
        <f>'Mail merge'!BK11</f>
        <v xml:space="preserve">  -NA-  </v>
      </c>
      <c r="K11" s="41" t="str">
        <f>'Mail merge'!BP11</f>
        <v xml:space="preserve">  -NA-  </v>
      </c>
      <c r="L11" s="19" t="str">
        <f>'Mail merge'!BQ11</f>
        <v xml:space="preserve">  -NA-  </v>
      </c>
      <c r="M11" s="19" t="str">
        <f>'Mail merge'!BR11</f>
        <v xml:space="preserve">  -NA-  </v>
      </c>
      <c r="N11" s="20" t="str">
        <f>'Mail merge'!BO11</f>
        <v xml:space="preserve">  -NA-  </v>
      </c>
      <c r="O11" s="20">
        <v>0</v>
      </c>
      <c r="P11" s="20">
        <v>0</v>
      </c>
      <c r="Q11" s="20" t="e">
        <f t="shared" si="0"/>
        <v>#VALUE!</v>
      </c>
      <c r="R11" s="19" t="str">
        <f>'Mail merge'!BS11</f>
        <v xml:space="preserve">  -NA-  </v>
      </c>
    </row>
    <row r="12" spans="1:18" s="21" customFormat="1" ht="44.25" customHeight="1" x14ac:dyDescent="0.25">
      <c r="A12" s="35">
        <v>11</v>
      </c>
      <c r="B12" s="40">
        <f>'Mail merge'!H12</f>
        <v>0</v>
      </c>
      <c r="C12" s="66" t="s">
        <v>125</v>
      </c>
      <c r="D12" s="33" t="str">
        <f>'Mail merge'!BH12</f>
        <v/>
      </c>
      <c r="E12" s="34" t="str">
        <f>'Mail merge'!BI12</f>
        <v xml:space="preserve">  -NA-  </v>
      </c>
      <c r="F12" s="18" t="str">
        <f>'Mail merge'!BJ12</f>
        <v xml:space="preserve">  -NA-  </v>
      </c>
      <c r="G12" s="19" t="str">
        <f>'Mail merge'!E12</f>
        <v/>
      </c>
      <c r="H12" s="41">
        <f>'Mail merge'!R12</f>
        <v>0</v>
      </c>
      <c r="I12" s="41">
        <f>'Mail merge'!S12</f>
        <v>0</v>
      </c>
      <c r="J12" s="19" t="str">
        <f>'Mail merge'!BK12</f>
        <v xml:space="preserve">  -NA-  </v>
      </c>
      <c r="K12" s="41" t="str">
        <f>'Mail merge'!BP12</f>
        <v xml:space="preserve">  -NA-  </v>
      </c>
      <c r="L12" s="19" t="str">
        <f>'Mail merge'!BQ12</f>
        <v xml:space="preserve">  -NA-  </v>
      </c>
      <c r="M12" s="19" t="str">
        <f>'Mail merge'!BR12</f>
        <v xml:space="preserve">  -NA-  </v>
      </c>
      <c r="N12" s="20" t="str">
        <f>'Mail merge'!BO12</f>
        <v xml:space="preserve">  -NA-  </v>
      </c>
      <c r="O12" s="20">
        <v>0</v>
      </c>
      <c r="P12" s="20">
        <v>0</v>
      </c>
      <c r="Q12" s="20" t="e">
        <f t="shared" si="0"/>
        <v>#VALUE!</v>
      </c>
      <c r="R12" s="19" t="str">
        <f>'Mail merge'!BS12</f>
        <v xml:space="preserve">  -NA-  </v>
      </c>
    </row>
    <row r="13" spans="1:18" s="21" customFormat="1" ht="44.25" customHeight="1" x14ac:dyDescent="0.25">
      <c r="A13" s="35">
        <v>12</v>
      </c>
      <c r="B13" s="40">
        <f>'Mail merge'!H13</f>
        <v>0</v>
      </c>
      <c r="C13" s="66" t="s">
        <v>125</v>
      </c>
      <c r="D13" s="33" t="str">
        <f>'Mail merge'!BH13</f>
        <v/>
      </c>
      <c r="E13" s="34" t="str">
        <f>'Mail merge'!BI13</f>
        <v xml:space="preserve">  -NA-  </v>
      </c>
      <c r="F13" s="18" t="str">
        <f>'Mail merge'!BJ13</f>
        <v xml:space="preserve">  -NA-  </v>
      </c>
      <c r="G13" s="19" t="str">
        <f>'Mail merge'!E13</f>
        <v/>
      </c>
      <c r="H13" s="41">
        <f>'Mail merge'!R13</f>
        <v>0</v>
      </c>
      <c r="I13" s="41">
        <f>'Mail merge'!S13</f>
        <v>0</v>
      </c>
      <c r="J13" s="19" t="str">
        <f>'Mail merge'!BK13</f>
        <v xml:space="preserve">  -NA-  </v>
      </c>
      <c r="K13" s="41" t="str">
        <f>'Mail merge'!BP13</f>
        <v xml:space="preserve">  -NA-  </v>
      </c>
      <c r="L13" s="19" t="str">
        <f>'Mail merge'!BQ13</f>
        <v xml:space="preserve">  -NA-  </v>
      </c>
      <c r="M13" s="19" t="str">
        <f>'Mail merge'!BR13</f>
        <v xml:space="preserve">  -NA-  </v>
      </c>
      <c r="N13" s="20" t="str">
        <f>'Mail merge'!BO13</f>
        <v xml:space="preserve">  -NA-  </v>
      </c>
      <c r="O13" s="20">
        <v>0</v>
      </c>
      <c r="P13" s="20">
        <v>0</v>
      </c>
      <c r="Q13" s="20" t="e">
        <f t="shared" si="0"/>
        <v>#VALUE!</v>
      </c>
      <c r="R13" s="19" t="str">
        <f>'Mail merge'!BS13</f>
        <v xml:space="preserve">  -NA-  </v>
      </c>
    </row>
    <row r="14" spans="1:18" s="21" customFormat="1" ht="39.75" customHeight="1" x14ac:dyDescent="0.25">
      <c r="A14" s="35">
        <v>13</v>
      </c>
      <c r="B14" s="40">
        <f>'Mail merge'!H14</f>
        <v>0</v>
      </c>
      <c r="C14" s="66" t="s">
        <v>125</v>
      </c>
      <c r="D14" s="33" t="str">
        <f>'Mail merge'!BH14</f>
        <v/>
      </c>
      <c r="E14" s="34" t="str">
        <f>'Mail merge'!BI14</f>
        <v xml:space="preserve">  -NA-  </v>
      </c>
      <c r="F14" s="18" t="str">
        <f>'Mail merge'!BJ14</f>
        <v xml:space="preserve">  -NA-  </v>
      </c>
      <c r="G14" s="19" t="str">
        <f>'Mail merge'!E14</f>
        <v/>
      </c>
      <c r="H14" s="41">
        <f>'Mail merge'!R14</f>
        <v>0</v>
      </c>
      <c r="I14" s="41">
        <f>'Mail merge'!S14</f>
        <v>0</v>
      </c>
      <c r="J14" s="19" t="str">
        <f>'Mail merge'!BK14</f>
        <v xml:space="preserve">  -NA-  </v>
      </c>
      <c r="K14" s="41" t="str">
        <f>'Mail merge'!BP14</f>
        <v xml:space="preserve">  -NA-  </v>
      </c>
      <c r="L14" s="19" t="str">
        <f>'Mail merge'!BQ14</f>
        <v xml:space="preserve">  -NA-  </v>
      </c>
      <c r="M14" s="19" t="str">
        <f>'Mail merge'!BR14</f>
        <v xml:space="preserve">  -NA-  </v>
      </c>
      <c r="N14" s="20" t="str">
        <f>'Mail merge'!BO14</f>
        <v xml:space="preserve">  -NA-  </v>
      </c>
      <c r="O14" s="20">
        <v>0</v>
      </c>
      <c r="P14" s="20">
        <v>0</v>
      </c>
      <c r="Q14" s="20" t="e">
        <f t="shared" si="0"/>
        <v>#VALUE!</v>
      </c>
      <c r="R14" s="19" t="str">
        <f>'Mail merge'!BS14</f>
        <v xml:space="preserve">  -NA-  </v>
      </c>
    </row>
    <row r="15" spans="1:18" s="21" customFormat="1" ht="39.75" customHeight="1" x14ac:dyDescent="0.25">
      <c r="A15" s="35">
        <v>14</v>
      </c>
      <c r="B15" s="40">
        <f>'Mail merge'!H15</f>
        <v>0</v>
      </c>
      <c r="C15" s="66" t="s">
        <v>125</v>
      </c>
      <c r="D15" s="33" t="str">
        <f>'Mail merge'!BH15</f>
        <v/>
      </c>
      <c r="E15" s="34" t="str">
        <f>'Mail merge'!BI15</f>
        <v xml:space="preserve">  -NA-  </v>
      </c>
      <c r="F15" s="18" t="str">
        <f>'Mail merge'!BJ15</f>
        <v xml:space="preserve">  -NA-  </v>
      </c>
      <c r="G15" s="19" t="str">
        <f>'Mail merge'!E15</f>
        <v/>
      </c>
      <c r="H15" s="41">
        <f>'Mail merge'!R15</f>
        <v>0</v>
      </c>
      <c r="I15" s="41">
        <f>'Mail merge'!S15</f>
        <v>0</v>
      </c>
      <c r="J15" s="19" t="str">
        <f>'Mail merge'!BK15</f>
        <v xml:space="preserve">  -NA-  </v>
      </c>
      <c r="K15" s="41" t="str">
        <f>'Mail merge'!BP15</f>
        <v xml:space="preserve">  -NA-  </v>
      </c>
      <c r="L15" s="19" t="str">
        <f>'Mail merge'!BQ15</f>
        <v xml:space="preserve">  -NA-  </v>
      </c>
      <c r="M15" s="19" t="str">
        <f>'Mail merge'!BR15</f>
        <v xml:space="preserve">  -NA-  </v>
      </c>
      <c r="N15" s="20" t="str">
        <f>'Mail merge'!BO15</f>
        <v xml:space="preserve">  -NA-  </v>
      </c>
      <c r="O15" s="20">
        <v>0</v>
      </c>
      <c r="P15" s="20">
        <v>0</v>
      </c>
      <c r="Q15" s="20" t="e">
        <f t="shared" si="0"/>
        <v>#VALUE!</v>
      </c>
      <c r="R15" s="19" t="str">
        <f>'Mail merge'!BS15</f>
        <v xml:space="preserve">  -NA-  </v>
      </c>
    </row>
    <row r="16" spans="1:18" s="21" customFormat="1" ht="39.75" customHeight="1" x14ac:dyDescent="0.25">
      <c r="A16" s="35">
        <v>15</v>
      </c>
      <c r="B16" s="40">
        <f>'Mail merge'!H16</f>
        <v>0</v>
      </c>
      <c r="C16" s="66" t="s">
        <v>125</v>
      </c>
      <c r="D16" s="33" t="str">
        <f>'Mail merge'!BH16</f>
        <v/>
      </c>
      <c r="E16" s="34" t="str">
        <f>'Mail merge'!BI16</f>
        <v xml:space="preserve">  -NA-  </v>
      </c>
      <c r="F16" s="18" t="str">
        <f>'Mail merge'!BJ16</f>
        <v xml:space="preserve">  -NA-  </v>
      </c>
      <c r="G16" s="19" t="str">
        <f>'Mail merge'!E16</f>
        <v/>
      </c>
      <c r="H16" s="41">
        <f>'Mail merge'!R16</f>
        <v>0</v>
      </c>
      <c r="I16" s="41">
        <f>'Mail merge'!S16</f>
        <v>0</v>
      </c>
      <c r="J16" s="19" t="str">
        <f>'Mail merge'!BK16</f>
        <v xml:space="preserve">  -NA-  </v>
      </c>
      <c r="K16" s="41" t="str">
        <f>'Mail merge'!BP16</f>
        <v xml:space="preserve">  -NA-  </v>
      </c>
      <c r="L16" s="19" t="str">
        <f>'Mail merge'!BQ16</f>
        <v xml:space="preserve">  -NA-  </v>
      </c>
      <c r="M16" s="19" t="str">
        <f>'Mail merge'!BR16</f>
        <v xml:space="preserve">  -NA-  </v>
      </c>
      <c r="N16" s="20" t="str">
        <f>'Mail merge'!BO16</f>
        <v xml:space="preserve">  -NA-  </v>
      </c>
      <c r="O16" s="20">
        <v>0</v>
      </c>
      <c r="P16" s="20">
        <v>0</v>
      </c>
      <c r="Q16" s="20" t="e">
        <f t="shared" si="0"/>
        <v>#VALUE!</v>
      </c>
      <c r="R16" s="19" t="str">
        <f>'Mail merge'!BS16</f>
        <v xml:space="preserve">  -NA-  </v>
      </c>
    </row>
    <row r="17" spans="1:18" s="21" customFormat="1" ht="39.75" customHeight="1" x14ac:dyDescent="0.25">
      <c r="A17" s="35">
        <v>16</v>
      </c>
      <c r="B17" s="40">
        <f>'Mail merge'!H17</f>
        <v>0</v>
      </c>
      <c r="C17" s="66" t="s">
        <v>125</v>
      </c>
      <c r="D17" s="33" t="str">
        <f>'Mail merge'!BH17</f>
        <v/>
      </c>
      <c r="E17" s="34" t="str">
        <f>'Mail merge'!BI17</f>
        <v xml:space="preserve">  -NA-  </v>
      </c>
      <c r="F17" s="18" t="str">
        <f>'Mail merge'!BJ17</f>
        <v xml:space="preserve">  -NA-  </v>
      </c>
      <c r="G17" s="19" t="str">
        <f>'Mail merge'!E17</f>
        <v/>
      </c>
      <c r="H17" s="41">
        <f>'Mail merge'!R17</f>
        <v>0</v>
      </c>
      <c r="I17" s="41">
        <f>'Mail merge'!S17</f>
        <v>0</v>
      </c>
      <c r="J17" s="19" t="str">
        <f>'Mail merge'!BK17</f>
        <v xml:space="preserve">  -NA-  </v>
      </c>
      <c r="K17" s="41" t="str">
        <f>'Mail merge'!BP17</f>
        <v xml:space="preserve">  -NA-  </v>
      </c>
      <c r="L17" s="19" t="str">
        <f>'Mail merge'!BQ17</f>
        <v xml:space="preserve">  -NA-  </v>
      </c>
      <c r="M17" s="19" t="str">
        <f>'Mail merge'!BR17</f>
        <v xml:space="preserve">  -NA-  </v>
      </c>
      <c r="N17" s="20" t="str">
        <f>'Mail merge'!BO17</f>
        <v xml:space="preserve">  -NA-  </v>
      </c>
      <c r="O17" s="20">
        <v>0</v>
      </c>
      <c r="P17" s="20">
        <v>0</v>
      </c>
      <c r="Q17" s="20" t="e">
        <f t="shared" si="0"/>
        <v>#VALUE!</v>
      </c>
      <c r="R17" s="19" t="str">
        <f>'Mail merge'!BS17</f>
        <v xml:space="preserve">  -NA-  </v>
      </c>
    </row>
    <row r="18" spans="1:18" s="21" customFormat="1" ht="44.25" customHeight="1" x14ac:dyDescent="0.25">
      <c r="A18" s="35">
        <v>17</v>
      </c>
      <c r="B18" s="40">
        <f>'Mail merge'!H18</f>
        <v>0</v>
      </c>
      <c r="C18" s="66" t="s">
        <v>125</v>
      </c>
      <c r="D18" s="33" t="str">
        <f>'Mail merge'!BH18</f>
        <v/>
      </c>
      <c r="E18" s="34" t="str">
        <f>'Mail merge'!BI18</f>
        <v xml:space="preserve">  -NA-  </v>
      </c>
      <c r="F18" s="18" t="str">
        <f>'Mail merge'!BJ18</f>
        <v xml:space="preserve">  -NA-  </v>
      </c>
      <c r="G18" s="19" t="str">
        <f>'Mail merge'!E18</f>
        <v/>
      </c>
      <c r="H18" s="41">
        <f>'Mail merge'!R18</f>
        <v>0</v>
      </c>
      <c r="I18" s="41">
        <f>'Mail merge'!S18</f>
        <v>0</v>
      </c>
      <c r="J18" s="19" t="str">
        <f>'Mail merge'!BK18</f>
        <v xml:space="preserve">  -NA-  </v>
      </c>
      <c r="K18" s="41" t="str">
        <f>'Mail merge'!BP18</f>
        <v xml:space="preserve">  -NA-  </v>
      </c>
      <c r="L18" s="19" t="str">
        <f>'Mail merge'!BQ18</f>
        <v xml:space="preserve">  -NA-  </v>
      </c>
      <c r="M18" s="19" t="str">
        <f>'Mail merge'!BR18</f>
        <v xml:space="preserve">  -NA-  </v>
      </c>
      <c r="N18" s="20" t="str">
        <f>'Mail merge'!BO18</f>
        <v xml:space="preserve">  -NA-  </v>
      </c>
      <c r="O18" s="20">
        <v>0</v>
      </c>
      <c r="P18" s="20">
        <v>0</v>
      </c>
      <c r="Q18" s="20" t="e">
        <f t="shared" si="0"/>
        <v>#VALUE!</v>
      </c>
      <c r="R18" s="19" t="str">
        <f>'Mail merge'!BS18</f>
        <v xml:space="preserve">  -NA-  </v>
      </c>
    </row>
    <row r="19" spans="1:18" s="21" customFormat="1" ht="39.75" customHeight="1" x14ac:dyDescent="0.25">
      <c r="A19" s="35">
        <v>18</v>
      </c>
      <c r="B19" s="40">
        <f>'Mail merge'!H19</f>
        <v>0</v>
      </c>
      <c r="C19" s="66" t="s">
        <v>125</v>
      </c>
      <c r="D19" s="33" t="str">
        <f>'Mail merge'!BH19</f>
        <v/>
      </c>
      <c r="E19" s="34" t="str">
        <f>'Mail merge'!BI19</f>
        <v xml:space="preserve">  -NA-  </v>
      </c>
      <c r="F19" s="18" t="str">
        <f>'Mail merge'!BJ19</f>
        <v xml:space="preserve">  -NA-  </v>
      </c>
      <c r="G19" s="19" t="str">
        <f>'Mail merge'!E19</f>
        <v/>
      </c>
      <c r="H19" s="41">
        <f>'Mail merge'!R19</f>
        <v>0</v>
      </c>
      <c r="I19" s="41">
        <f>'Mail merge'!S19</f>
        <v>0</v>
      </c>
      <c r="J19" s="19" t="str">
        <f>'Mail merge'!BK19</f>
        <v xml:space="preserve">  -NA-  </v>
      </c>
      <c r="K19" s="41" t="str">
        <f>'Mail merge'!BP19</f>
        <v xml:space="preserve">  -NA-  </v>
      </c>
      <c r="L19" s="19" t="str">
        <f>'Mail merge'!BQ19</f>
        <v xml:space="preserve">  -NA-  </v>
      </c>
      <c r="M19" s="19" t="str">
        <f>'Mail merge'!BR19</f>
        <v xml:space="preserve">  -NA-  </v>
      </c>
      <c r="N19" s="20" t="str">
        <f>'Mail merge'!BO19</f>
        <v xml:space="preserve">  -NA-  </v>
      </c>
      <c r="O19" s="20">
        <v>0</v>
      </c>
      <c r="P19" s="20">
        <v>0</v>
      </c>
      <c r="Q19" s="20" t="e">
        <f t="shared" si="0"/>
        <v>#VALUE!</v>
      </c>
      <c r="R19" s="19" t="str">
        <f>'Mail merge'!BS19</f>
        <v xml:space="preserve">  -NA-  </v>
      </c>
    </row>
    <row r="20" spans="1:18" s="21" customFormat="1" ht="44.25" customHeight="1" x14ac:dyDescent="0.25">
      <c r="A20" s="35">
        <v>19</v>
      </c>
      <c r="B20" s="40">
        <f>'Mail merge'!H20</f>
        <v>0</v>
      </c>
      <c r="C20" s="66" t="s">
        <v>125</v>
      </c>
      <c r="D20" s="33" t="str">
        <f>'Mail merge'!BH20</f>
        <v/>
      </c>
      <c r="E20" s="34" t="str">
        <f>'Mail merge'!BI20</f>
        <v xml:space="preserve">  -NA-  </v>
      </c>
      <c r="F20" s="18" t="str">
        <f>'Mail merge'!BJ20</f>
        <v xml:space="preserve">  -NA-  </v>
      </c>
      <c r="G20" s="19" t="str">
        <f>'Mail merge'!E20</f>
        <v/>
      </c>
      <c r="H20" s="41">
        <f>'Mail merge'!R20</f>
        <v>0</v>
      </c>
      <c r="I20" s="41">
        <f>'Mail merge'!S20</f>
        <v>0</v>
      </c>
      <c r="J20" s="19" t="str">
        <f>'Mail merge'!BK20</f>
        <v xml:space="preserve">  -NA-  </v>
      </c>
      <c r="K20" s="41" t="str">
        <f>'Mail merge'!BP20</f>
        <v xml:space="preserve">  -NA-  </v>
      </c>
      <c r="L20" s="19" t="str">
        <f>'Mail merge'!BQ20</f>
        <v xml:space="preserve">  -NA-  </v>
      </c>
      <c r="M20" s="19" t="str">
        <f>'Mail merge'!BR20</f>
        <v xml:space="preserve">  -NA-  </v>
      </c>
      <c r="N20" s="20" t="str">
        <f>'Mail merge'!BO20</f>
        <v xml:space="preserve">  -NA-  </v>
      </c>
      <c r="O20" s="20">
        <v>0</v>
      </c>
      <c r="P20" s="20">
        <v>0</v>
      </c>
      <c r="Q20" s="20" t="e">
        <f t="shared" si="0"/>
        <v>#VALUE!</v>
      </c>
      <c r="R20" s="19" t="str">
        <f>'Mail merge'!BS20</f>
        <v xml:space="preserve">  -NA-  </v>
      </c>
    </row>
    <row r="21" spans="1:18" s="21" customFormat="1" ht="44.25" customHeight="1" x14ac:dyDescent="0.25">
      <c r="A21" s="35">
        <v>20</v>
      </c>
      <c r="B21" s="40">
        <f>'Mail merge'!H21</f>
        <v>0</v>
      </c>
      <c r="C21" s="66" t="s">
        <v>125</v>
      </c>
      <c r="D21" s="33" t="str">
        <f>'Mail merge'!BH21</f>
        <v/>
      </c>
      <c r="E21" s="34" t="str">
        <f>'Mail merge'!BI21</f>
        <v xml:space="preserve">  -NA-  </v>
      </c>
      <c r="F21" s="18" t="str">
        <f>'Mail merge'!BJ21</f>
        <v xml:space="preserve">  -NA-  </v>
      </c>
      <c r="G21" s="19" t="str">
        <f>'Mail merge'!E21</f>
        <v/>
      </c>
      <c r="H21" s="41">
        <f>'Mail merge'!R21</f>
        <v>0</v>
      </c>
      <c r="I21" s="41">
        <f>'Mail merge'!S21</f>
        <v>0</v>
      </c>
      <c r="J21" s="19" t="str">
        <f>'Mail merge'!BK21</f>
        <v xml:space="preserve">  -NA-  </v>
      </c>
      <c r="K21" s="41" t="str">
        <f>'Mail merge'!BP21</f>
        <v xml:space="preserve">  -NA-  </v>
      </c>
      <c r="L21" s="19" t="str">
        <f>'Mail merge'!BQ21</f>
        <v xml:space="preserve">  -NA-  </v>
      </c>
      <c r="M21" s="19" t="str">
        <f>'Mail merge'!BR21</f>
        <v xml:space="preserve">  -NA-  </v>
      </c>
      <c r="N21" s="20" t="str">
        <f>'Mail merge'!BO21</f>
        <v xml:space="preserve">  -NA-  </v>
      </c>
      <c r="O21" s="20">
        <v>0</v>
      </c>
      <c r="P21" s="20">
        <v>0</v>
      </c>
      <c r="Q21" s="20" t="e">
        <f t="shared" si="0"/>
        <v>#VALUE!</v>
      </c>
      <c r="R21" s="19" t="str">
        <f>'Mail merge'!BS21</f>
        <v xml:space="preserve">  -NA-  </v>
      </c>
    </row>
    <row r="22" spans="1:18" s="21" customFormat="1" ht="44.25" customHeight="1" x14ac:dyDescent="0.25">
      <c r="A22" s="35">
        <v>21</v>
      </c>
      <c r="B22" s="40">
        <f>'Mail merge'!H22</f>
        <v>0</v>
      </c>
      <c r="C22" s="66" t="s">
        <v>125</v>
      </c>
      <c r="D22" s="33" t="str">
        <f>'Mail merge'!BH22</f>
        <v/>
      </c>
      <c r="E22" s="34" t="str">
        <f>'Mail merge'!BI22</f>
        <v xml:space="preserve">  -NA-  </v>
      </c>
      <c r="F22" s="18" t="str">
        <f>'Mail merge'!BJ22</f>
        <v xml:space="preserve">  -NA-  </v>
      </c>
      <c r="G22" s="19" t="str">
        <f>'Mail merge'!E22</f>
        <v/>
      </c>
      <c r="H22" s="41">
        <f>'Mail merge'!R22</f>
        <v>0</v>
      </c>
      <c r="I22" s="41">
        <f>'Mail merge'!S22</f>
        <v>0</v>
      </c>
      <c r="J22" s="19" t="str">
        <f>'Mail merge'!BK22</f>
        <v xml:space="preserve">  -NA-  </v>
      </c>
      <c r="K22" s="41" t="str">
        <f>'Mail merge'!BP22</f>
        <v xml:space="preserve">  -NA-  </v>
      </c>
      <c r="L22" s="19" t="str">
        <f>'Mail merge'!BQ22</f>
        <v xml:space="preserve">  -NA-  </v>
      </c>
      <c r="M22" s="19" t="str">
        <f>'Mail merge'!BR22</f>
        <v xml:space="preserve">  -NA-  </v>
      </c>
      <c r="N22" s="20" t="str">
        <f>'Mail merge'!BO22</f>
        <v xml:space="preserve">  -NA-  </v>
      </c>
      <c r="O22" s="20">
        <v>0</v>
      </c>
      <c r="P22" s="20">
        <v>0</v>
      </c>
      <c r="Q22" s="20" t="e">
        <f t="shared" si="0"/>
        <v>#VALUE!</v>
      </c>
      <c r="R22" s="19" t="str">
        <f>'Mail merge'!BS22</f>
        <v xml:space="preserve">  -NA-  </v>
      </c>
    </row>
    <row r="23" spans="1:18" s="21" customFormat="1" ht="44.25" customHeight="1" x14ac:dyDescent="0.25">
      <c r="A23" s="35">
        <v>22</v>
      </c>
      <c r="B23" s="40">
        <f>'Mail merge'!H23</f>
        <v>0</v>
      </c>
      <c r="C23" s="66" t="s">
        <v>125</v>
      </c>
      <c r="D23" s="33" t="str">
        <f>'Mail merge'!BH23</f>
        <v/>
      </c>
      <c r="E23" s="34" t="str">
        <f>'Mail merge'!BI23</f>
        <v xml:space="preserve">  -NA-  </v>
      </c>
      <c r="F23" s="18" t="str">
        <f>'Mail merge'!BJ23</f>
        <v xml:space="preserve">  -NA-  </v>
      </c>
      <c r="G23" s="19" t="str">
        <f>'Mail merge'!E23</f>
        <v/>
      </c>
      <c r="H23" s="41">
        <f>'Mail merge'!R23</f>
        <v>0</v>
      </c>
      <c r="I23" s="41">
        <f>'Mail merge'!S23</f>
        <v>0</v>
      </c>
      <c r="J23" s="19" t="str">
        <f>'Mail merge'!BK23</f>
        <v xml:space="preserve">  -NA-  </v>
      </c>
      <c r="K23" s="41" t="str">
        <f>'Mail merge'!BP23</f>
        <v xml:space="preserve">  -NA-  </v>
      </c>
      <c r="L23" s="19" t="str">
        <f>'Mail merge'!BQ23</f>
        <v xml:space="preserve">  -NA-  </v>
      </c>
      <c r="M23" s="19" t="str">
        <f>'Mail merge'!BR23</f>
        <v xml:space="preserve">  -NA-  </v>
      </c>
      <c r="N23" s="20" t="str">
        <f>'Mail merge'!BO23</f>
        <v xml:space="preserve">  -NA-  </v>
      </c>
      <c r="O23" s="20">
        <v>0</v>
      </c>
      <c r="P23" s="20">
        <v>0</v>
      </c>
      <c r="Q23" s="20" t="e">
        <f t="shared" si="0"/>
        <v>#VALUE!</v>
      </c>
      <c r="R23" s="19" t="str">
        <f>'Mail merge'!BS23</f>
        <v xml:space="preserve">  -NA-  </v>
      </c>
    </row>
    <row r="24" spans="1:18" s="21" customFormat="1" ht="44.25" customHeight="1" x14ac:dyDescent="0.25">
      <c r="A24" s="35">
        <v>23</v>
      </c>
      <c r="B24" s="40">
        <f>'Mail merge'!H24</f>
        <v>0</v>
      </c>
      <c r="C24" s="66" t="s">
        <v>125</v>
      </c>
      <c r="D24" s="33" t="str">
        <f>'Mail merge'!BH24</f>
        <v/>
      </c>
      <c r="E24" s="34" t="str">
        <f>'Mail merge'!BI24</f>
        <v xml:space="preserve">  -NA-  </v>
      </c>
      <c r="F24" s="18" t="str">
        <f>'Mail merge'!BJ24</f>
        <v xml:space="preserve">  -NA-  </v>
      </c>
      <c r="G24" s="19" t="str">
        <f>'Mail merge'!E24</f>
        <v/>
      </c>
      <c r="H24" s="41">
        <f>'Mail merge'!R24</f>
        <v>0</v>
      </c>
      <c r="I24" s="41">
        <f>'Mail merge'!S24</f>
        <v>0</v>
      </c>
      <c r="J24" s="19" t="str">
        <f>'Mail merge'!BK24</f>
        <v xml:space="preserve">  -NA-  </v>
      </c>
      <c r="K24" s="41" t="str">
        <f>'Mail merge'!BP24</f>
        <v xml:space="preserve">  -NA-  </v>
      </c>
      <c r="L24" s="19" t="str">
        <f>'Mail merge'!BQ24</f>
        <v xml:space="preserve">  -NA-  </v>
      </c>
      <c r="M24" s="19" t="str">
        <f>'Mail merge'!BR24</f>
        <v xml:space="preserve">  -NA-  </v>
      </c>
      <c r="N24" s="20" t="str">
        <f>'Mail merge'!BO24</f>
        <v xml:space="preserve">  -NA-  </v>
      </c>
      <c r="O24" s="20">
        <v>0</v>
      </c>
      <c r="P24" s="20">
        <v>0</v>
      </c>
      <c r="Q24" s="20" t="e">
        <f t="shared" si="0"/>
        <v>#VALUE!</v>
      </c>
      <c r="R24" s="19" t="str">
        <f>'Mail merge'!BS24</f>
        <v xml:space="preserve">  -NA-  </v>
      </c>
    </row>
    <row r="25" spans="1:18" s="21" customFormat="1" ht="44.25" customHeight="1" x14ac:dyDescent="0.25">
      <c r="A25" s="35">
        <v>24</v>
      </c>
      <c r="B25" s="40">
        <f>'Mail merge'!H25</f>
        <v>0</v>
      </c>
      <c r="C25" s="66" t="s">
        <v>125</v>
      </c>
      <c r="D25" s="33" t="str">
        <f>'Mail merge'!BH25</f>
        <v/>
      </c>
      <c r="E25" s="34" t="str">
        <f>'Mail merge'!BI25</f>
        <v xml:space="preserve">  -NA-  </v>
      </c>
      <c r="F25" s="18" t="str">
        <f>'Mail merge'!BJ25</f>
        <v xml:space="preserve">  -NA-  </v>
      </c>
      <c r="G25" s="19" t="str">
        <f>'Mail merge'!E25</f>
        <v/>
      </c>
      <c r="H25" s="41">
        <f>'Mail merge'!R25</f>
        <v>0</v>
      </c>
      <c r="I25" s="41">
        <f>'Mail merge'!S25</f>
        <v>0</v>
      </c>
      <c r="J25" s="19" t="str">
        <f>'Mail merge'!BK25</f>
        <v xml:space="preserve">  -NA-  </v>
      </c>
      <c r="K25" s="41" t="str">
        <f>'Mail merge'!BP25</f>
        <v xml:space="preserve">  -NA-  </v>
      </c>
      <c r="L25" s="19" t="str">
        <f>'Mail merge'!BQ25</f>
        <v xml:space="preserve">  -NA-  </v>
      </c>
      <c r="M25" s="19" t="str">
        <f>'Mail merge'!BR25</f>
        <v xml:space="preserve">  -NA-  </v>
      </c>
      <c r="N25" s="20" t="str">
        <f>'Mail merge'!BO25</f>
        <v xml:space="preserve">  -NA-  </v>
      </c>
      <c r="O25" s="20">
        <v>0</v>
      </c>
      <c r="P25" s="20">
        <v>0</v>
      </c>
      <c r="Q25" s="20" t="e">
        <f t="shared" si="0"/>
        <v>#VALUE!</v>
      </c>
      <c r="R25" s="19" t="str">
        <f>'Mail merge'!BS25</f>
        <v xml:space="preserve">  -NA-  </v>
      </c>
    </row>
    <row r="26" spans="1:18" s="21" customFormat="1" ht="44.25" customHeight="1" x14ac:dyDescent="0.25">
      <c r="A26" s="35">
        <v>25</v>
      </c>
      <c r="B26" s="40">
        <f>'Mail merge'!H26</f>
        <v>0</v>
      </c>
      <c r="C26" s="66" t="s">
        <v>125</v>
      </c>
      <c r="D26" s="33" t="str">
        <f>'Mail merge'!BH26</f>
        <v/>
      </c>
      <c r="E26" s="34" t="str">
        <f>'Mail merge'!BI26</f>
        <v xml:space="preserve">  -NA-  </v>
      </c>
      <c r="F26" s="18" t="str">
        <f>'Mail merge'!BJ26</f>
        <v xml:space="preserve">  -NA-  </v>
      </c>
      <c r="G26" s="19" t="str">
        <f>'Mail merge'!E26</f>
        <v/>
      </c>
      <c r="H26" s="41">
        <f>'Mail merge'!R26</f>
        <v>0</v>
      </c>
      <c r="I26" s="41">
        <f>'Mail merge'!S26</f>
        <v>0</v>
      </c>
      <c r="J26" s="19" t="str">
        <f>'Mail merge'!BK26</f>
        <v xml:space="preserve">  -NA-  </v>
      </c>
      <c r="K26" s="41" t="str">
        <f>'Mail merge'!BP26</f>
        <v xml:space="preserve">  -NA-  </v>
      </c>
      <c r="L26" s="19" t="str">
        <f>'Mail merge'!BQ26</f>
        <v xml:space="preserve">  -NA-  </v>
      </c>
      <c r="M26" s="19" t="str">
        <f>'Mail merge'!BR26</f>
        <v xml:space="preserve">  -NA-  </v>
      </c>
      <c r="N26" s="20" t="str">
        <f>'Mail merge'!BO26</f>
        <v xml:space="preserve">  -NA-  </v>
      </c>
      <c r="O26" s="20">
        <v>0</v>
      </c>
      <c r="P26" s="20">
        <v>0</v>
      </c>
      <c r="Q26" s="20" t="e">
        <f t="shared" si="0"/>
        <v>#VALUE!</v>
      </c>
      <c r="R26" s="19" t="str">
        <f>'Mail merge'!BS26</f>
        <v xml:space="preserve">  -NA-  </v>
      </c>
    </row>
    <row r="27" spans="1:18" s="21" customFormat="1" ht="44.25" customHeight="1" x14ac:dyDescent="0.25">
      <c r="A27" s="35">
        <v>26</v>
      </c>
      <c r="B27" s="40">
        <f>'Mail merge'!H27</f>
        <v>0</v>
      </c>
      <c r="C27" s="66" t="s">
        <v>125</v>
      </c>
      <c r="D27" s="33" t="str">
        <f>'Mail merge'!BH27</f>
        <v/>
      </c>
      <c r="E27" s="34" t="str">
        <f>'Mail merge'!BI27</f>
        <v xml:space="preserve">  -NA-  </v>
      </c>
      <c r="F27" s="18" t="str">
        <f>'Mail merge'!BJ27</f>
        <v xml:space="preserve">  -NA-  </v>
      </c>
      <c r="G27" s="19" t="str">
        <f>'Mail merge'!E27</f>
        <v/>
      </c>
      <c r="H27" s="41">
        <f>'Mail merge'!R27</f>
        <v>0</v>
      </c>
      <c r="I27" s="41">
        <f>'Mail merge'!S27</f>
        <v>0</v>
      </c>
      <c r="J27" s="19" t="str">
        <f>'Mail merge'!BK27</f>
        <v xml:space="preserve">  -NA-  </v>
      </c>
      <c r="K27" s="41" t="str">
        <f>'Mail merge'!BP27</f>
        <v xml:space="preserve">  -NA-  </v>
      </c>
      <c r="L27" s="19" t="str">
        <f>'Mail merge'!BQ27</f>
        <v xml:space="preserve">  -NA-  </v>
      </c>
      <c r="M27" s="19" t="str">
        <f>'Mail merge'!BR27</f>
        <v xml:space="preserve">  -NA-  </v>
      </c>
      <c r="N27" s="20" t="str">
        <f>'Mail merge'!BO27</f>
        <v xml:space="preserve">  -NA-  </v>
      </c>
      <c r="O27" s="20">
        <v>0</v>
      </c>
      <c r="P27" s="20">
        <v>0</v>
      </c>
      <c r="Q27" s="20" t="e">
        <f t="shared" si="0"/>
        <v>#VALUE!</v>
      </c>
      <c r="R27" s="19" t="str">
        <f>'Mail merge'!BS27</f>
        <v xml:space="preserve">  -NA-  </v>
      </c>
    </row>
    <row r="28" spans="1:18" s="21" customFormat="1" ht="44.25" customHeight="1" x14ac:dyDescent="0.25">
      <c r="A28" s="35">
        <v>27</v>
      </c>
      <c r="B28" s="40">
        <f>'Mail merge'!H28</f>
        <v>0</v>
      </c>
      <c r="C28" s="66" t="s">
        <v>125</v>
      </c>
      <c r="D28" s="33" t="str">
        <f>'Mail merge'!BH28</f>
        <v/>
      </c>
      <c r="E28" s="34" t="str">
        <f>'Mail merge'!BI28</f>
        <v xml:space="preserve">  -NA-  </v>
      </c>
      <c r="F28" s="18" t="str">
        <f>'Mail merge'!BJ28</f>
        <v xml:space="preserve">  -NA-  </v>
      </c>
      <c r="G28" s="19" t="str">
        <f>'Mail merge'!E28</f>
        <v/>
      </c>
      <c r="H28" s="41">
        <f>'Mail merge'!R28</f>
        <v>0</v>
      </c>
      <c r="I28" s="41">
        <f>'Mail merge'!S28</f>
        <v>0</v>
      </c>
      <c r="J28" s="19" t="str">
        <f>'Mail merge'!BK28</f>
        <v xml:space="preserve">  -NA-  </v>
      </c>
      <c r="K28" s="41" t="str">
        <f>'Mail merge'!BP28</f>
        <v xml:space="preserve">  -NA-  </v>
      </c>
      <c r="L28" s="19" t="str">
        <f>'Mail merge'!BQ28</f>
        <v xml:space="preserve">  -NA-  </v>
      </c>
      <c r="M28" s="19" t="str">
        <f>'Mail merge'!BR28</f>
        <v xml:space="preserve">  -NA-  </v>
      </c>
      <c r="N28" s="20" t="str">
        <f>'Mail merge'!BO28</f>
        <v xml:space="preserve">  -NA-  </v>
      </c>
      <c r="O28" s="20">
        <v>0</v>
      </c>
      <c r="P28" s="20">
        <v>0</v>
      </c>
      <c r="Q28" s="20" t="e">
        <f t="shared" si="0"/>
        <v>#VALUE!</v>
      </c>
      <c r="R28" s="19" t="str">
        <f>'Mail merge'!BS28</f>
        <v xml:space="preserve">  -NA-  </v>
      </c>
    </row>
    <row r="29" spans="1:18" s="21" customFormat="1" ht="44.25" customHeight="1" x14ac:dyDescent="0.25">
      <c r="A29" s="35">
        <v>28</v>
      </c>
      <c r="B29" s="40">
        <f>'Mail merge'!H29</f>
        <v>0</v>
      </c>
      <c r="C29" s="66" t="s">
        <v>125</v>
      </c>
      <c r="D29" s="33" t="str">
        <f>'Mail merge'!BH29</f>
        <v/>
      </c>
      <c r="E29" s="34" t="str">
        <f>'Mail merge'!BI29</f>
        <v xml:space="preserve">  -NA-  </v>
      </c>
      <c r="F29" s="18" t="str">
        <f>'Mail merge'!BJ29</f>
        <v xml:space="preserve">  -NA-  </v>
      </c>
      <c r="G29" s="19" t="str">
        <f>'Mail merge'!E29</f>
        <v/>
      </c>
      <c r="H29" s="41">
        <f>'Mail merge'!R29</f>
        <v>0</v>
      </c>
      <c r="I29" s="41">
        <f>'Mail merge'!S29</f>
        <v>0</v>
      </c>
      <c r="J29" s="19" t="str">
        <f>'Mail merge'!BK29</f>
        <v xml:space="preserve">  -NA-  </v>
      </c>
      <c r="K29" s="41" t="str">
        <f>'Mail merge'!BP29</f>
        <v xml:space="preserve">  -NA-  </v>
      </c>
      <c r="L29" s="19" t="str">
        <f>'Mail merge'!BQ29</f>
        <v xml:space="preserve">  -NA-  </v>
      </c>
      <c r="M29" s="19" t="str">
        <f>'Mail merge'!BR29</f>
        <v xml:space="preserve">  -NA-  </v>
      </c>
      <c r="N29" s="20" t="str">
        <f>'Mail merge'!BO29</f>
        <v xml:space="preserve">  -NA-  </v>
      </c>
      <c r="O29" s="20">
        <v>0</v>
      </c>
      <c r="P29" s="20">
        <v>0</v>
      </c>
      <c r="Q29" s="20" t="e">
        <f t="shared" si="0"/>
        <v>#VALUE!</v>
      </c>
      <c r="R29" s="19" t="str">
        <f>'Mail merge'!BS29</f>
        <v xml:space="preserve">  -NA-  </v>
      </c>
    </row>
    <row r="30" spans="1:18" s="21" customFormat="1" ht="44.25" customHeight="1" x14ac:dyDescent="0.25">
      <c r="A30" s="35">
        <v>29</v>
      </c>
      <c r="B30" s="40">
        <f>'Mail merge'!H30</f>
        <v>0</v>
      </c>
      <c r="C30" s="66" t="s">
        <v>125</v>
      </c>
      <c r="D30" s="33" t="str">
        <f>'Mail merge'!BH30</f>
        <v/>
      </c>
      <c r="E30" s="34" t="str">
        <f>'Mail merge'!BI30</f>
        <v xml:space="preserve">  -NA-  </v>
      </c>
      <c r="F30" s="18" t="str">
        <f>'Mail merge'!BJ30</f>
        <v xml:space="preserve">  -NA-  </v>
      </c>
      <c r="G30" s="19" t="str">
        <f>'Mail merge'!E30</f>
        <v/>
      </c>
      <c r="H30" s="41">
        <f>'Mail merge'!R30</f>
        <v>0</v>
      </c>
      <c r="I30" s="41">
        <f>'Mail merge'!S30</f>
        <v>0</v>
      </c>
      <c r="J30" s="19" t="str">
        <f>'Mail merge'!BK30</f>
        <v xml:space="preserve">  -NA-  </v>
      </c>
      <c r="K30" s="41" t="str">
        <f>'Mail merge'!BP30</f>
        <v xml:space="preserve">  -NA-  </v>
      </c>
      <c r="L30" s="19" t="str">
        <f>'Mail merge'!BQ30</f>
        <v xml:space="preserve">  -NA-  </v>
      </c>
      <c r="M30" s="19" t="str">
        <f>'Mail merge'!BR30</f>
        <v xml:space="preserve">  -NA-  </v>
      </c>
      <c r="N30" s="20" t="str">
        <f>'Mail merge'!BO30</f>
        <v xml:space="preserve">  -NA-  </v>
      </c>
      <c r="O30" s="20">
        <v>0</v>
      </c>
      <c r="P30" s="20">
        <v>0</v>
      </c>
      <c r="Q30" s="20" t="e">
        <f t="shared" si="0"/>
        <v>#VALUE!</v>
      </c>
      <c r="R30" s="19" t="str">
        <f>'Mail merge'!BS30</f>
        <v xml:space="preserve">  -NA-  </v>
      </c>
    </row>
    <row r="31" spans="1:18" s="21" customFormat="1" ht="44.25" customHeight="1" x14ac:dyDescent="0.25">
      <c r="A31" s="35">
        <v>30</v>
      </c>
      <c r="B31" s="40">
        <f>'Mail merge'!H31</f>
        <v>0</v>
      </c>
      <c r="C31" s="66" t="s">
        <v>125</v>
      </c>
      <c r="D31" s="33" t="str">
        <f>'Mail merge'!BH31</f>
        <v/>
      </c>
      <c r="E31" s="34" t="str">
        <f>'Mail merge'!BI31</f>
        <v xml:space="preserve">  -NA-  </v>
      </c>
      <c r="F31" s="18" t="str">
        <f>'Mail merge'!BJ31</f>
        <v xml:space="preserve">  -NA-  </v>
      </c>
      <c r="G31" s="19" t="str">
        <f>'Mail merge'!E31</f>
        <v/>
      </c>
      <c r="H31" s="41">
        <f>'Mail merge'!R31</f>
        <v>0</v>
      </c>
      <c r="I31" s="41">
        <f>'Mail merge'!S31</f>
        <v>0</v>
      </c>
      <c r="J31" s="19" t="str">
        <f>'Mail merge'!BK31</f>
        <v xml:space="preserve">  -NA-  </v>
      </c>
      <c r="K31" s="41" t="str">
        <f>'Mail merge'!BP31</f>
        <v xml:space="preserve">  -NA-  </v>
      </c>
      <c r="L31" s="19" t="str">
        <f>'Mail merge'!BQ31</f>
        <v xml:space="preserve">  -NA-  </v>
      </c>
      <c r="M31" s="19" t="str">
        <f>'Mail merge'!BR31</f>
        <v xml:space="preserve">  -NA-  </v>
      </c>
      <c r="N31" s="20" t="str">
        <f>'Mail merge'!BO31</f>
        <v xml:space="preserve">  -NA-  </v>
      </c>
      <c r="O31" s="20">
        <v>0</v>
      </c>
      <c r="P31" s="20">
        <v>0</v>
      </c>
      <c r="Q31" s="20" t="e">
        <f t="shared" si="0"/>
        <v>#VALUE!</v>
      </c>
      <c r="R31" s="19" t="str">
        <f>'Mail merge'!BS31</f>
        <v xml:space="preserve">  -NA-  </v>
      </c>
    </row>
    <row r="32" spans="1:18" s="21" customFormat="1" ht="44.25" customHeight="1" x14ac:dyDescent="0.25">
      <c r="A32" s="35">
        <v>31</v>
      </c>
      <c r="B32" s="40">
        <f>'Mail merge'!H32</f>
        <v>0</v>
      </c>
      <c r="C32" s="66" t="s">
        <v>125</v>
      </c>
      <c r="D32" s="33" t="str">
        <f>'Mail merge'!BH32</f>
        <v/>
      </c>
      <c r="E32" s="34" t="str">
        <f>'Mail merge'!BI32</f>
        <v xml:space="preserve">  -NA-  </v>
      </c>
      <c r="F32" s="18" t="str">
        <f>'Mail merge'!BJ32</f>
        <v xml:space="preserve">  -NA-  </v>
      </c>
      <c r="G32" s="19" t="str">
        <f>'Mail merge'!E32</f>
        <v/>
      </c>
      <c r="H32" s="41">
        <f>'Mail merge'!R32</f>
        <v>0</v>
      </c>
      <c r="I32" s="41">
        <f>'Mail merge'!S32</f>
        <v>0</v>
      </c>
      <c r="J32" s="19" t="str">
        <f>'Mail merge'!BK32</f>
        <v xml:space="preserve">  -NA-  </v>
      </c>
      <c r="K32" s="41" t="str">
        <f>'Mail merge'!BP32</f>
        <v xml:space="preserve">  -NA-  </v>
      </c>
      <c r="L32" s="19" t="str">
        <f>'Mail merge'!BQ32</f>
        <v xml:space="preserve">  -NA-  </v>
      </c>
      <c r="M32" s="19" t="str">
        <f>'Mail merge'!BR32</f>
        <v xml:space="preserve">  -NA-  </v>
      </c>
      <c r="N32" s="20" t="str">
        <f>'Mail merge'!BO32</f>
        <v xml:space="preserve">  -NA-  </v>
      </c>
      <c r="O32" s="20">
        <v>0</v>
      </c>
      <c r="P32" s="20">
        <v>0</v>
      </c>
      <c r="Q32" s="20" t="e">
        <f t="shared" si="0"/>
        <v>#VALUE!</v>
      </c>
      <c r="R32" s="19" t="str">
        <f>'Mail merge'!BS32</f>
        <v xml:space="preserve">  -NA-  </v>
      </c>
    </row>
    <row r="33" spans="1:18" s="21" customFormat="1" ht="44.25" customHeight="1" x14ac:dyDescent="0.25">
      <c r="A33" s="35">
        <v>32</v>
      </c>
      <c r="B33" s="40">
        <f>'Mail merge'!H33</f>
        <v>0</v>
      </c>
      <c r="C33" s="66" t="s">
        <v>125</v>
      </c>
      <c r="D33" s="33" t="str">
        <f>'Mail merge'!BH33</f>
        <v/>
      </c>
      <c r="E33" s="34" t="str">
        <f>'Mail merge'!BI33</f>
        <v xml:space="preserve">  -NA-  </v>
      </c>
      <c r="F33" s="18" t="str">
        <f>'Mail merge'!BJ33</f>
        <v xml:space="preserve">  -NA-  </v>
      </c>
      <c r="G33" s="19" t="str">
        <f>'Mail merge'!E33</f>
        <v/>
      </c>
      <c r="H33" s="41">
        <f>'Mail merge'!R33</f>
        <v>0</v>
      </c>
      <c r="I33" s="41">
        <f>'Mail merge'!S33</f>
        <v>0</v>
      </c>
      <c r="J33" s="19" t="str">
        <f>'Mail merge'!BK33</f>
        <v xml:space="preserve">  -NA-  </v>
      </c>
      <c r="K33" s="41" t="str">
        <f>'Mail merge'!BP33</f>
        <v xml:space="preserve">  -NA-  </v>
      </c>
      <c r="L33" s="19" t="str">
        <f>'Mail merge'!BQ33</f>
        <v xml:space="preserve">  -NA-  </v>
      </c>
      <c r="M33" s="19" t="str">
        <f>'Mail merge'!BR33</f>
        <v xml:space="preserve">  -NA-  </v>
      </c>
      <c r="N33" s="20" t="str">
        <f>'Mail merge'!BO33</f>
        <v xml:space="preserve">  -NA-  </v>
      </c>
      <c r="O33" s="20">
        <v>0</v>
      </c>
      <c r="P33" s="20">
        <v>0</v>
      </c>
      <c r="Q33" s="20" t="e">
        <f t="shared" si="0"/>
        <v>#VALUE!</v>
      </c>
      <c r="R33" s="19" t="str">
        <f>'Mail merge'!BS33</f>
        <v xml:space="preserve">  -NA-  </v>
      </c>
    </row>
    <row r="34" spans="1:18" s="21" customFormat="1" ht="44.25" customHeight="1" x14ac:dyDescent="0.25">
      <c r="A34" s="35">
        <v>33</v>
      </c>
      <c r="B34" s="40">
        <f>'Mail merge'!H34</f>
        <v>0</v>
      </c>
      <c r="C34" s="66" t="s">
        <v>125</v>
      </c>
      <c r="D34" s="33" t="str">
        <f>'Mail merge'!BH34</f>
        <v/>
      </c>
      <c r="E34" s="34" t="str">
        <f>'Mail merge'!BI34</f>
        <v xml:space="preserve">  -NA-  </v>
      </c>
      <c r="F34" s="18" t="str">
        <f>'Mail merge'!BJ34</f>
        <v xml:space="preserve">  -NA-  </v>
      </c>
      <c r="G34" s="19" t="str">
        <f>'Mail merge'!E34</f>
        <v/>
      </c>
      <c r="H34" s="41">
        <f>'Mail merge'!R34</f>
        <v>0</v>
      </c>
      <c r="I34" s="41">
        <f>'Mail merge'!S34</f>
        <v>0</v>
      </c>
      <c r="J34" s="19" t="str">
        <f>'Mail merge'!BK34</f>
        <v xml:space="preserve">  -NA-  </v>
      </c>
      <c r="K34" s="41" t="str">
        <f>'Mail merge'!BP34</f>
        <v xml:space="preserve">  -NA-  </v>
      </c>
      <c r="L34" s="19" t="str">
        <f>'Mail merge'!BQ34</f>
        <v xml:space="preserve">  -NA-  </v>
      </c>
      <c r="M34" s="19" t="str">
        <f>'Mail merge'!BR34</f>
        <v xml:space="preserve">  -NA-  </v>
      </c>
      <c r="N34" s="20" t="str">
        <f>'Mail merge'!BO34</f>
        <v xml:space="preserve">  -NA-  </v>
      </c>
      <c r="O34" s="20">
        <v>0</v>
      </c>
      <c r="P34" s="20">
        <v>0</v>
      </c>
      <c r="Q34" s="20" t="e">
        <f t="shared" si="0"/>
        <v>#VALUE!</v>
      </c>
      <c r="R34" s="19" t="str">
        <f>'Mail merge'!BS34</f>
        <v xml:space="preserve">  -NA-  </v>
      </c>
    </row>
    <row r="35" spans="1:18" s="21" customFormat="1" ht="44.25" customHeight="1" x14ac:dyDescent="0.25">
      <c r="A35" s="35">
        <v>34</v>
      </c>
      <c r="B35" s="40">
        <f>'Mail merge'!H35</f>
        <v>0</v>
      </c>
      <c r="C35" s="66" t="s">
        <v>125</v>
      </c>
      <c r="D35" s="33" t="str">
        <f>'Mail merge'!BH35</f>
        <v/>
      </c>
      <c r="E35" s="34" t="str">
        <f>'Mail merge'!BI35</f>
        <v xml:space="preserve">  -NA-  </v>
      </c>
      <c r="F35" s="18" t="str">
        <f>'Mail merge'!BJ35</f>
        <v xml:space="preserve">  -NA-  </v>
      </c>
      <c r="G35" s="19" t="str">
        <f>'Mail merge'!E35</f>
        <v/>
      </c>
      <c r="H35" s="41">
        <f>'Mail merge'!R35</f>
        <v>0</v>
      </c>
      <c r="I35" s="41">
        <f>'Mail merge'!S35</f>
        <v>0</v>
      </c>
      <c r="J35" s="19" t="str">
        <f>'Mail merge'!BK35</f>
        <v xml:space="preserve">  -NA-  </v>
      </c>
      <c r="K35" s="41" t="str">
        <f>'Mail merge'!BP35</f>
        <v xml:space="preserve">  -NA-  </v>
      </c>
      <c r="L35" s="19" t="str">
        <f>'Mail merge'!BQ35</f>
        <v xml:space="preserve">  -NA-  </v>
      </c>
      <c r="M35" s="19" t="str">
        <f>'Mail merge'!BR35</f>
        <v xml:space="preserve">  -NA-  </v>
      </c>
      <c r="N35" s="20" t="str">
        <f>'Mail merge'!BO35</f>
        <v xml:space="preserve">  -NA-  </v>
      </c>
      <c r="O35" s="20">
        <v>0</v>
      </c>
      <c r="P35" s="20">
        <v>0</v>
      </c>
      <c r="Q35" s="20" t="e">
        <f t="shared" si="0"/>
        <v>#VALUE!</v>
      </c>
      <c r="R35" s="19" t="str">
        <f>'Mail merge'!BS35</f>
        <v xml:space="preserve">  -NA-  </v>
      </c>
    </row>
    <row r="36" spans="1:18" s="21" customFormat="1" ht="44.25" customHeight="1" x14ac:dyDescent="0.25">
      <c r="A36" s="35">
        <v>35</v>
      </c>
      <c r="B36" s="40">
        <f>'Mail merge'!H36</f>
        <v>0</v>
      </c>
      <c r="C36" s="66" t="s">
        <v>125</v>
      </c>
      <c r="D36" s="33" t="str">
        <f>'Mail merge'!BH36</f>
        <v/>
      </c>
      <c r="E36" s="34" t="str">
        <f>'Mail merge'!BI36</f>
        <v xml:space="preserve">  -NA-  </v>
      </c>
      <c r="F36" s="18" t="str">
        <f>'Mail merge'!BJ36</f>
        <v xml:space="preserve">  -NA-  </v>
      </c>
      <c r="G36" s="19" t="str">
        <f>'Mail merge'!E36</f>
        <v/>
      </c>
      <c r="H36" s="41">
        <f>'Mail merge'!R36</f>
        <v>0</v>
      </c>
      <c r="I36" s="41">
        <f>'Mail merge'!S36</f>
        <v>0</v>
      </c>
      <c r="J36" s="19" t="str">
        <f>'Mail merge'!BK36</f>
        <v xml:space="preserve">  -NA-  </v>
      </c>
      <c r="K36" s="41" t="str">
        <f>'Mail merge'!BP36</f>
        <v xml:space="preserve">  -NA-  </v>
      </c>
      <c r="L36" s="19" t="str">
        <f>'Mail merge'!BQ36</f>
        <v xml:space="preserve">  -NA-  </v>
      </c>
      <c r="M36" s="19" t="str">
        <f>'Mail merge'!BR36</f>
        <v xml:space="preserve">  -NA-  </v>
      </c>
      <c r="N36" s="20" t="str">
        <f>'Mail merge'!BO36</f>
        <v xml:space="preserve">  -NA-  </v>
      </c>
      <c r="O36" s="20">
        <v>0</v>
      </c>
      <c r="P36" s="20">
        <v>0</v>
      </c>
      <c r="Q36" s="20" t="e">
        <f t="shared" si="0"/>
        <v>#VALUE!</v>
      </c>
      <c r="R36" s="19" t="str">
        <f>'Mail merge'!BS36</f>
        <v xml:space="preserve">  -NA-  </v>
      </c>
    </row>
    <row r="37" spans="1:18" s="21" customFormat="1" ht="44.25" customHeight="1" x14ac:dyDescent="0.25">
      <c r="A37" s="35">
        <v>36</v>
      </c>
      <c r="B37" s="40">
        <f>'Mail merge'!H37</f>
        <v>0</v>
      </c>
      <c r="C37" s="66" t="s">
        <v>125</v>
      </c>
      <c r="D37" s="33" t="str">
        <f>'Mail merge'!BH37</f>
        <v/>
      </c>
      <c r="E37" s="34" t="str">
        <f>'Mail merge'!BI37</f>
        <v xml:space="preserve">  -NA-  </v>
      </c>
      <c r="F37" s="18" t="str">
        <f>'Mail merge'!BJ37</f>
        <v xml:space="preserve">  -NA-  </v>
      </c>
      <c r="G37" s="19" t="str">
        <f>'Mail merge'!E37</f>
        <v/>
      </c>
      <c r="H37" s="41">
        <f>'Mail merge'!R37</f>
        <v>0</v>
      </c>
      <c r="I37" s="41">
        <f>'Mail merge'!S37</f>
        <v>0</v>
      </c>
      <c r="J37" s="19" t="str">
        <f>'Mail merge'!BK37</f>
        <v xml:space="preserve">  -NA-  </v>
      </c>
      <c r="K37" s="41" t="str">
        <f>'Mail merge'!BP37</f>
        <v xml:space="preserve">  -NA-  </v>
      </c>
      <c r="L37" s="19" t="str">
        <f>'Mail merge'!BQ37</f>
        <v xml:space="preserve">  -NA-  </v>
      </c>
      <c r="M37" s="19" t="str">
        <f>'Mail merge'!BR37</f>
        <v xml:space="preserve">  -NA-  </v>
      </c>
      <c r="N37" s="20" t="str">
        <f>'Mail merge'!BO37</f>
        <v xml:space="preserve">  -NA-  </v>
      </c>
      <c r="O37" s="20">
        <v>0</v>
      </c>
      <c r="P37" s="20">
        <v>0</v>
      </c>
      <c r="Q37" s="20" t="e">
        <f t="shared" si="0"/>
        <v>#VALUE!</v>
      </c>
      <c r="R37" s="19" t="str">
        <f>'Mail merge'!BS37</f>
        <v xml:space="preserve">  -NA-  </v>
      </c>
    </row>
    <row r="38" spans="1:18" x14ac:dyDescent="0.2">
      <c r="L38" s="21"/>
      <c r="M38" s="21"/>
    </row>
    <row r="39" spans="1:18" x14ac:dyDescent="0.2">
      <c r="L39" s="21"/>
      <c r="M39" s="21"/>
    </row>
    <row r="40" spans="1:18" x14ac:dyDescent="0.2">
      <c r="L40" s="21"/>
      <c r="M40" s="21"/>
    </row>
    <row r="41" spans="1:18" x14ac:dyDescent="0.2">
      <c r="L41" s="21"/>
      <c r="M41" s="21"/>
    </row>
    <row r="42" spans="1:18" x14ac:dyDescent="0.2">
      <c r="L42" s="21"/>
      <c r="M42" s="21"/>
    </row>
    <row r="43" spans="1:18" x14ac:dyDescent="0.2">
      <c r="L43" s="21"/>
      <c r="M43" s="21"/>
    </row>
    <row r="44" spans="1:18" x14ac:dyDescent="0.2">
      <c r="L44" s="21"/>
      <c r="M44" s="21"/>
    </row>
    <row r="45" spans="1:18" x14ac:dyDescent="0.2">
      <c r="L45" s="21"/>
      <c r="M45" s="21"/>
    </row>
    <row r="46" spans="1:18" x14ac:dyDescent="0.2">
      <c r="L46" s="21"/>
      <c r="M46" s="21"/>
    </row>
    <row r="47" spans="1:18" x14ac:dyDescent="0.2">
      <c r="L47" s="21"/>
      <c r="M47" s="21"/>
    </row>
    <row r="48" spans="1:18" x14ac:dyDescent="0.2">
      <c r="L48" s="21"/>
      <c r="M48" s="21"/>
    </row>
    <row r="49" spans="12:13" x14ac:dyDescent="0.2">
      <c r="L49" s="21"/>
      <c r="M49" s="21"/>
    </row>
    <row r="50" spans="12:13" x14ac:dyDescent="0.2">
      <c r="L50" s="21"/>
      <c r="M50" s="21"/>
    </row>
    <row r="51" spans="12:13" x14ac:dyDescent="0.2">
      <c r="L51" s="21"/>
      <c r="M51" s="21"/>
    </row>
    <row r="52" spans="12:13" x14ac:dyDescent="0.2">
      <c r="L52" s="21"/>
      <c r="M52" s="21"/>
    </row>
    <row r="53" spans="12:13" x14ac:dyDescent="0.2">
      <c r="L53" s="21"/>
      <c r="M53" s="21"/>
    </row>
    <row r="54" spans="12:13" x14ac:dyDescent="0.2">
      <c r="L54" s="21"/>
      <c r="M54" s="21"/>
    </row>
    <row r="55" spans="12:13" x14ac:dyDescent="0.2">
      <c r="L55" s="21"/>
      <c r="M55" s="21"/>
    </row>
    <row r="56" spans="12:13" x14ac:dyDescent="0.2">
      <c r="L56" s="21"/>
      <c r="M56" s="21"/>
    </row>
    <row r="57" spans="12:13" x14ac:dyDescent="0.2">
      <c r="L57" s="21"/>
      <c r="M57" s="21"/>
    </row>
    <row r="58" spans="12:13" x14ac:dyDescent="0.2">
      <c r="L58" s="21"/>
      <c r="M58" s="21"/>
    </row>
    <row r="59" spans="12:13" x14ac:dyDescent="0.2">
      <c r="L59" s="21"/>
      <c r="M59" s="21"/>
    </row>
    <row r="60" spans="12:13" x14ac:dyDescent="0.2">
      <c r="L60" s="21"/>
      <c r="M60" s="21"/>
    </row>
    <row r="61" spans="12:13" x14ac:dyDescent="0.2">
      <c r="L61" s="21"/>
      <c r="M61" s="21"/>
    </row>
    <row r="62" spans="12:13" x14ac:dyDescent="0.2">
      <c r="L62" s="21"/>
      <c r="M62" s="21"/>
    </row>
    <row r="63" spans="12:13" x14ac:dyDescent="0.2">
      <c r="L63" s="21"/>
      <c r="M63" s="21"/>
    </row>
    <row r="64" spans="12:13" x14ac:dyDescent="0.2">
      <c r="L64" s="21"/>
      <c r="M64" s="21"/>
    </row>
    <row r="65" spans="12:13" x14ac:dyDescent="0.2">
      <c r="L65" s="21"/>
      <c r="M65" s="21"/>
    </row>
    <row r="66" spans="12:13" x14ac:dyDescent="0.2">
      <c r="L66" s="21"/>
      <c r="M66" s="21"/>
    </row>
    <row r="67" spans="12:13" x14ac:dyDescent="0.2">
      <c r="L67" s="21"/>
      <c r="M67" s="21"/>
    </row>
    <row r="68" spans="12:13" x14ac:dyDescent="0.2">
      <c r="L68" s="21"/>
      <c r="M68" s="21"/>
    </row>
    <row r="69" spans="12:13" x14ac:dyDescent="0.2">
      <c r="L69" s="21"/>
      <c r="M69" s="21"/>
    </row>
    <row r="70" spans="12:13" x14ac:dyDescent="0.2">
      <c r="L70" s="21"/>
      <c r="M70" s="21"/>
    </row>
    <row r="71" spans="12:13" x14ac:dyDescent="0.2">
      <c r="L71" s="21"/>
      <c r="M71" s="21"/>
    </row>
    <row r="72" spans="12:13" x14ac:dyDescent="0.2">
      <c r="L72" s="21"/>
      <c r="M72" s="21"/>
    </row>
    <row r="73" spans="12:13" x14ac:dyDescent="0.2">
      <c r="L73" s="21"/>
      <c r="M73" s="21"/>
    </row>
    <row r="74" spans="12:13" x14ac:dyDescent="0.2">
      <c r="L74" s="21"/>
      <c r="M74" s="21"/>
    </row>
    <row r="75" spans="12:13" x14ac:dyDescent="0.2">
      <c r="L75" s="21"/>
      <c r="M75" s="21"/>
    </row>
    <row r="76" spans="12:13" x14ac:dyDescent="0.2">
      <c r="L76" s="21"/>
      <c r="M76" s="21"/>
    </row>
    <row r="77" spans="12:13" x14ac:dyDescent="0.2">
      <c r="L77" s="21"/>
      <c r="M77" s="21"/>
    </row>
    <row r="78" spans="12:13" x14ac:dyDescent="0.2">
      <c r="L78" s="21"/>
      <c r="M78" s="21"/>
    </row>
    <row r="79" spans="12:13" x14ac:dyDescent="0.2">
      <c r="L79" s="21"/>
      <c r="M79" s="21"/>
    </row>
    <row r="80" spans="12:13" x14ac:dyDescent="0.2">
      <c r="L80" s="21"/>
      <c r="M80" s="21"/>
    </row>
    <row r="81" spans="12:13" x14ac:dyDescent="0.2">
      <c r="L81" s="21"/>
      <c r="M81" s="21"/>
    </row>
    <row r="82" spans="12:13" x14ac:dyDescent="0.2">
      <c r="L82" s="21"/>
      <c r="M82" s="21"/>
    </row>
    <row r="83" spans="12:13" x14ac:dyDescent="0.2">
      <c r="L83" s="21"/>
      <c r="M83" s="21"/>
    </row>
    <row r="84" spans="12:13" x14ac:dyDescent="0.2">
      <c r="L84" s="21"/>
      <c r="M84" s="21"/>
    </row>
    <row r="85" spans="12:13" x14ac:dyDescent="0.2">
      <c r="L85" s="21"/>
      <c r="M85" s="21"/>
    </row>
    <row r="86" spans="12:13" x14ac:dyDescent="0.2">
      <c r="L86" s="21"/>
      <c r="M86" s="21"/>
    </row>
    <row r="87" spans="12:13" x14ac:dyDescent="0.2">
      <c r="L87" s="21"/>
      <c r="M87" s="21"/>
    </row>
    <row r="88" spans="12:13" x14ac:dyDescent="0.2">
      <c r="L88" s="21"/>
      <c r="M88" s="21"/>
    </row>
    <row r="89" spans="12:13" x14ac:dyDescent="0.2">
      <c r="L89" s="21"/>
      <c r="M89" s="21"/>
    </row>
    <row r="90" spans="12:13" x14ac:dyDescent="0.2">
      <c r="L90" s="21"/>
      <c r="M90" s="21"/>
    </row>
    <row r="91" spans="12:13" x14ac:dyDescent="0.2">
      <c r="L91" s="21"/>
      <c r="M91" s="21"/>
    </row>
    <row r="92" spans="12:13" x14ac:dyDescent="0.2">
      <c r="L92" s="21"/>
      <c r="M92" s="21"/>
    </row>
    <row r="93" spans="12:13" x14ac:dyDescent="0.2">
      <c r="L93" s="21"/>
      <c r="M93" s="21"/>
    </row>
    <row r="94" spans="12:13" x14ac:dyDescent="0.2">
      <c r="L94" s="21"/>
      <c r="M94" s="21"/>
    </row>
    <row r="95" spans="12:13" x14ac:dyDescent="0.2">
      <c r="L95" s="21"/>
      <c r="M95" s="21"/>
    </row>
    <row r="96" spans="12:13" x14ac:dyDescent="0.2">
      <c r="L96" s="21"/>
      <c r="M96" s="21"/>
    </row>
    <row r="97" spans="12:13" x14ac:dyDescent="0.2">
      <c r="L97" s="21"/>
      <c r="M97" s="21"/>
    </row>
    <row r="98" spans="12:13" x14ac:dyDescent="0.2">
      <c r="L98" s="21"/>
      <c r="M98" s="21"/>
    </row>
    <row r="99" spans="12:13" x14ac:dyDescent="0.2">
      <c r="L99" s="21"/>
      <c r="M99" s="21"/>
    </row>
    <row r="100" spans="12:13" x14ac:dyDescent="0.2">
      <c r="L100" s="21"/>
      <c r="M100" s="21"/>
    </row>
    <row r="101" spans="12:13" x14ac:dyDescent="0.2">
      <c r="L101" s="21"/>
      <c r="M101" s="21"/>
    </row>
  </sheetData>
  <mergeCells count="1">
    <mergeCell ref="D1:E1"/>
  </mergeCells>
  <pageMargins left="0.35433070866141736" right="0.19685039370078741" top="0.39370078740157483" bottom="0.39370078740157483" header="0.35433070866141736" footer="0.47244094488188981"/>
  <pageSetup paperSize="8" scale="7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B050"/>
  </sheetPr>
  <dimension ref="A1:R106"/>
  <sheetViews>
    <sheetView view="pageBreakPreview" zoomScale="70" zoomScaleSheetLayoutView="70" workbookViewId="0">
      <selection activeCell="W13" sqref="W13"/>
    </sheetView>
  </sheetViews>
  <sheetFormatPr defaultColWidth="9.140625" defaultRowHeight="15.75" x14ac:dyDescent="0.2"/>
  <cols>
    <col min="1" max="1" width="6.85546875" style="29" customWidth="1"/>
    <col min="2" max="2" width="15.5703125" style="22" customWidth="1"/>
    <col min="3" max="3" width="16.42578125" style="21" customWidth="1"/>
    <col min="4" max="4" width="6.140625" style="30" customWidth="1"/>
    <col min="5" max="5" width="29.5703125" style="21" customWidth="1"/>
    <col min="6" max="6" width="14.85546875" style="21" customWidth="1"/>
    <col min="7" max="7" width="13.85546875" style="23" customWidth="1"/>
    <col min="8" max="8" width="11.28515625" style="21" customWidth="1"/>
    <col min="9" max="9" width="10.85546875" style="21" customWidth="1"/>
    <col min="10" max="10" width="41" style="21" customWidth="1"/>
    <col min="11" max="11" width="25.85546875" style="21" customWidth="1"/>
    <col min="12" max="12" width="28.85546875" style="24" customWidth="1"/>
    <col min="13" max="13" width="18.28515625" style="24" customWidth="1"/>
    <col min="14" max="14" width="11.42578125" style="21" customWidth="1"/>
    <col min="15" max="16" width="10" style="21" customWidth="1"/>
    <col min="17" max="17" width="18.140625" style="21" bestFit="1" customWidth="1"/>
    <col min="18" max="18" width="21.5703125" style="24" customWidth="1"/>
    <col min="19" max="16384" width="9.140625" style="14"/>
  </cols>
  <sheetData>
    <row r="1" spans="1:18" ht="85.5" customHeight="1" x14ac:dyDescent="0.2">
      <c r="A1" s="152" t="s">
        <v>301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2"/>
      <c r="O1" s="152"/>
      <c r="P1" s="152"/>
      <c r="Q1" s="152"/>
      <c r="R1" s="95"/>
    </row>
    <row r="2" spans="1:18" ht="37.5" customHeight="1" x14ac:dyDescent="0.2">
      <c r="A2" s="153" t="s">
        <v>374</v>
      </c>
      <c r="B2" s="153"/>
      <c r="C2" s="153"/>
      <c r="D2" s="153"/>
      <c r="E2" s="153"/>
      <c r="F2" s="153"/>
      <c r="G2" s="153"/>
      <c r="H2" s="153"/>
      <c r="I2" s="153"/>
      <c r="J2" s="153"/>
      <c r="K2" s="153"/>
      <c r="L2" s="153"/>
      <c r="M2" s="153"/>
      <c r="N2" s="153"/>
      <c r="O2" s="153"/>
      <c r="P2" s="153"/>
      <c r="Q2" s="153"/>
      <c r="R2" s="14"/>
    </row>
    <row r="3" spans="1:18" ht="39" customHeight="1" x14ac:dyDescent="0.2">
      <c r="A3" s="154" t="s">
        <v>376</v>
      </c>
      <c r="B3" s="154"/>
      <c r="C3" s="154"/>
      <c r="D3" s="154"/>
      <c r="E3" s="154"/>
      <c r="F3" s="154"/>
      <c r="G3" s="154"/>
      <c r="H3" s="154"/>
      <c r="I3" s="154"/>
      <c r="J3" s="154"/>
      <c r="K3" s="154"/>
      <c r="L3" s="154"/>
      <c r="M3" s="154"/>
      <c r="N3" s="154"/>
      <c r="O3" s="154"/>
      <c r="P3" s="154"/>
      <c r="Q3" s="154"/>
      <c r="R3" s="14"/>
    </row>
    <row r="4" spans="1:18" s="17" customFormat="1" ht="47.25" customHeight="1" x14ac:dyDescent="0.25">
      <c r="A4" s="31" t="s">
        <v>302</v>
      </c>
      <c r="B4" s="32" t="s">
        <v>303</v>
      </c>
      <c r="C4" s="105" t="s">
        <v>304</v>
      </c>
      <c r="D4" s="107"/>
      <c r="E4" s="108" t="s">
        <v>305</v>
      </c>
      <c r="F4" s="106" t="s">
        <v>318</v>
      </c>
      <c r="G4" s="15" t="s">
        <v>306</v>
      </c>
      <c r="H4" s="15" t="s">
        <v>319</v>
      </c>
      <c r="I4" s="87" t="s">
        <v>320</v>
      </c>
      <c r="J4" s="69" t="s">
        <v>307</v>
      </c>
      <c r="K4" s="69" t="s">
        <v>308</v>
      </c>
      <c r="L4" s="70" t="s">
        <v>309</v>
      </c>
      <c r="M4" s="70" t="s">
        <v>310</v>
      </c>
      <c r="N4" s="15" t="s">
        <v>311</v>
      </c>
      <c r="O4" s="69" t="s">
        <v>117</v>
      </c>
      <c r="P4" s="69" t="s">
        <v>120</v>
      </c>
      <c r="Q4" s="69" t="s">
        <v>312</v>
      </c>
      <c r="R4" s="70" t="s">
        <v>396</v>
      </c>
    </row>
    <row r="5" spans="1:18" s="17" customFormat="1" ht="47.25" customHeight="1" x14ac:dyDescent="0.25">
      <c r="A5" s="134">
        <v>1</v>
      </c>
      <c r="B5" s="135" t="s">
        <v>496</v>
      </c>
      <c r="C5" s="136" t="s">
        <v>112</v>
      </c>
      <c r="D5" s="141" t="s">
        <v>463</v>
      </c>
      <c r="E5" s="142" t="s">
        <v>497</v>
      </c>
      <c r="F5" s="137" t="s">
        <v>487</v>
      </c>
      <c r="G5" s="138" t="s">
        <v>484</v>
      </c>
      <c r="H5" s="138">
        <v>23</v>
      </c>
      <c r="I5" s="138">
        <v>22</v>
      </c>
      <c r="J5" s="138" t="s">
        <v>165</v>
      </c>
      <c r="K5" s="138" t="s">
        <v>493</v>
      </c>
      <c r="L5" s="139" t="s">
        <v>498</v>
      </c>
      <c r="M5" s="139" t="s">
        <v>465</v>
      </c>
      <c r="N5" s="138">
        <v>440</v>
      </c>
      <c r="O5" s="138">
        <v>150</v>
      </c>
      <c r="P5" s="138">
        <v>250</v>
      </c>
      <c r="Q5" s="143">
        <v>840</v>
      </c>
      <c r="R5" s="139" t="s">
        <v>466</v>
      </c>
    </row>
    <row r="6" spans="1:18" s="17" customFormat="1" ht="39.75" customHeight="1" x14ac:dyDescent="0.25">
      <c r="A6" s="134">
        <v>2</v>
      </c>
      <c r="B6" s="135" t="s">
        <v>496</v>
      </c>
      <c r="C6" s="136" t="s">
        <v>122</v>
      </c>
      <c r="D6" s="141" t="s">
        <v>419</v>
      </c>
      <c r="E6" s="142" t="s">
        <v>476</v>
      </c>
      <c r="F6" s="137" t="s">
        <v>464</v>
      </c>
      <c r="G6" s="138" t="s">
        <v>484</v>
      </c>
      <c r="H6" s="138">
        <v>23</v>
      </c>
      <c r="I6" s="138">
        <v>22</v>
      </c>
      <c r="J6" s="138" t="s">
        <v>47</v>
      </c>
      <c r="K6" s="138" t="s">
        <v>481</v>
      </c>
      <c r="L6" s="139" t="s">
        <v>436</v>
      </c>
      <c r="M6" s="139" t="s">
        <v>477</v>
      </c>
      <c r="N6" s="138">
        <v>440</v>
      </c>
      <c r="O6" s="138">
        <v>0</v>
      </c>
      <c r="P6" s="138">
        <v>0</v>
      </c>
      <c r="Q6" s="144">
        <v>440</v>
      </c>
      <c r="R6" s="139" t="s">
        <v>478</v>
      </c>
    </row>
    <row r="7" spans="1:18" s="17" customFormat="1" ht="39.75" customHeight="1" x14ac:dyDescent="0.25">
      <c r="A7" s="134">
        <v>3</v>
      </c>
      <c r="B7" s="135" t="s">
        <v>496</v>
      </c>
      <c r="C7" s="136" t="s">
        <v>123</v>
      </c>
      <c r="D7" s="141" t="s">
        <v>463</v>
      </c>
      <c r="E7" s="142" t="s">
        <v>499</v>
      </c>
      <c r="F7" s="137" t="s">
        <v>464</v>
      </c>
      <c r="G7" s="138" t="s">
        <v>484</v>
      </c>
      <c r="H7" s="138">
        <v>23</v>
      </c>
      <c r="I7" s="138">
        <v>22</v>
      </c>
      <c r="J7" s="138" t="s">
        <v>47</v>
      </c>
      <c r="K7" s="138" t="s">
        <v>495</v>
      </c>
      <c r="L7" s="139" t="s">
        <v>500</v>
      </c>
      <c r="M7" s="139" t="s">
        <v>490</v>
      </c>
      <c r="N7" s="138">
        <v>230</v>
      </c>
      <c r="O7" s="138">
        <v>0</v>
      </c>
      <c r="P7" s="138">
        <v>0</v>
      </c>
      <c r="Q7" s="143">
        <v>230</v>
      </c>
      <c r="R7" s="139" t="s">
        <v>491</v>
      </c>
    </row>
    <row r="8" spans="1:18" s="17" customFormat="1" ht="39.75" customHeight="1" x14ac:dyDescent="0.25">
      <c r="A8" s="134"/>
      <c r="B8" s="135"/>
      <c r="C8" s="136"/>
      <c r="D8" s="141"/>
      <c r="E8" s="142"/>
      <c r="F8" s="137"/>
      <c r="G8" s="138"/>
      <c r="H8" s="138"/>
      <c r="I8" s="138"/>
      <c r="J8" s="138"/>
      <c r="K8" s="138"/>
      <c r="L8" s="139"/>
      <c r="M8" s="139"/>
      <c r="N8" s="138"/>
      <c r="O8" s="138"/>
      <c r="P8" s="138"/>
      <c r="Q8" s="143"/>
      <c r="R8" s="139"/>
    </row>
    <row r="9" spans="1:18" s="17" customFormat="1" ht="39.75" customHeight="1" x14ac:dyDescent="0.25">
      <c r="A9" s="134"/>
      <c r="B9" s="135"/>
      <c r="C9" s="136"/>
      <c r="D9" s="141"/>
      <c r="E9" s="142"/>
      <c r="F9" s="137"/>
      <c r="G9" s="138"/>
      <c r="H9" s="138"/>
      <c r="I9" s="138"/>
      <c r="J9" s="138"/>
      <c r="K9" s="138"/>
      <c r="L9" s="139"/>
      <c r="M9" s="139"/>
      <c r="N9" s="138"/>
      <c r="O9" s="138"/>
      <c r="P9" s="138"/>
      <c r="Q9" s="144"/>
      <c r="R9" s="139"/>
    </row>
    <row r="10" spans="1:18" s="17" customFormat="1" ht="39.75" customHeight="1" x14ac:dyDescent="0.25">
      <c r="A10" s="134"/>
      <c r="B10" s="135"/>
      <c r="C10" s="136"/>
      <c r="D10" s="141"/>
      <c r="E10" s="142"/>
      <c r="F10" s="137"/>
      <c r="G10" s="138"/>
      <c r="H10" s="138"/>
      <c r="I10" s="138"/>
      <c r="J10" s="138"/>
      <c r="K10" s="138"/>
      <c r="L10" s="139"/>
      <c r="M10" s="139"/>
      <c r="N10" s="138"/>
      <c r="O10" s="138"/>
      <c r="P10" s="138"/>
      <c r="Q10" s="144"/>
      <c r="R10" s="139"/>
    </row>
    <row r="11" spans="1:18" s="17" customFormat="1" ht="39.75" customHeight="1" x14ac:dyDescent="0.25">
      <c r="A11" s="134"/>
      <c r="B11" s="135"/>
      <c r="C11" s="136"/>
      <c r="D11" s="141"/>
      <c r="E11" s="142"/>
      <c r="F11" s="137"/>
      <c r="G11" s="138"/>
      <c r="H11" s="138"/>
      <c r="I11" s="138"/>
      <c r="J11" s="138"/>
      <c r="K11" s="138"/>
      <c r="L11" s="139"/>
      <c r="M11" s="139"/>
      <c r="N11" s="138"/>
      <c r="O11" s="138"/>
      <c r="P11" s="138"/>
      <c r="Q11" s="144"/>
      <c r="R11" s="139"/>
    </row>
    <row r="12" spans="1:18" s="17" customFormat="1" ht="39.75" customHeight="1" x14ac:dyDescent="0.25">
      <c r="A12" s="134"/>
      <c r="B12" s="135"/>
      <c r="C12" s="136"/>
      <c r="D12" s="141"/>
      <c r="E12" s="142"/>
      <c r="F12" s="137"/>
      <c r="G12" s="138"/>
      <c r="H12" s="138"/>
      <c r="I12" s="138"/>
      <c r="J12" s="138"/>
      <c r="K12" s="138"/>
      <c r="L12" s="139"/>
      <c r="M12" s="139"/>
      <c r="N12" s="138"/>
      <c r="O12" s="138"/>
      <c r="P12" s="138"/>
      <c r="Q12" s="144"/>
      <c r="R12" s="139"/>
    </row>
    <row r="13" spans="1:18" s="17" customFormat="1" ht="39.75" customHeight="1" x14ac:dyDescent="0.25">
      <c r="A13" s="134"/>
      <c r="B13" s="135"/>
      <c r="C13" s="136"/>
      <c r="D13" s="141"/>
      <c r="E13" s="142"/>
      <c r="F13" s="137"/>
      <c r="G13" s="138"/>
      <c r="H13" s="138"/>
      <c r="I13" s="138"/>
      <c r="J13" s="138"/>
      <c r="K13" s="138"/>
      <c r="L13" s="139"/>
      <c r="M13" s="139"/>
      <c r="N13" s="138"/>
      <c r="O13" s="138"/>
      <c r="P13" s="138"/>
      <c r="Q13" s="143"/>
      <c r="R13" s="139"/>
    </row>
    <row r="14" spans="1:18" s="17" customFormat="1" ht="39.75" customHeight="1" x14ac:dyDescent="0.25">
      <c r="A14" s="134"/>
      <c r="B14" s="135"/>
      <c r="C14" s="136"/>
      <c r="D14" s="141"/>
      <c r="E14" s="142"/>
      <c r="F14" s="137"/>
      <c r="G14" s="138"/>
      <c r="H14" s="138"/>
      <c r="I14" s="138"/>
      <c r="J14" s="138"/>
      <c r="K14" s="138"/>
      <c r="L14" s="139"/>
      <c r="M14" s="139"/>
      <c r="N14" s="138"/>
      <c r="O14" s="138"/>
      <c r="P14" s="138"/>
      <c r="Q14" s="144"/>
      <c r="R14" s="139"/>
    </row>
    <row r="15" spans="1:18" s="17" customFormat="1" ht="39.75" customHeight="1" x14ac:dyDescent="0.25">
      <c r="A15" s="134"/>
      <c r="B15" s="135"/>
      <c r="C15" s="136"/>
      <c r="D15" s="141"/>
      <c r="E15" s="142"/>
      <c r="F15" s="137"/>
      <c r="G15" s="138"/>
      <c r="H15" s="138"/>
      <c r="I15" s="138"/>
      <c r="J15" s="138"/>
      <c r="K15" s="138"/>
      <c r="L15" s="139"/>
      <c r="M15" s="139"/>
      <c r="N15" s="138"/>
      <c r="O15" s="138"/>
      <c r="P15" s="138"/>
      <c r="Q15" s="144"/>
      <c r="R15" s="139"/>
    </row>
    <row r="16" spans="1:18" s="17" customFormat="1" ht="39.75" customHeight="1" x14ac:dyDescent="0.25">
      <c r="A16" s="134"/>
      <c r="B16" s="135"/>
      <c r="C16" s="136"/>
      <c r="D16" s="141"/>
      <c r="E16" s="142"/>
      <c r="F16" s="137"/>
      <c r="G16" s="138"/>
      <c r="H16" s="138"/>
      <c r="I16" s="138"/>
      <c r="J16" s="138"/>
      <c r="K16" s="138"/>
      <c r="L16" s="139"/>
      <c r="M16" s="139"/>
      <c r="N16" s="138"/>
      <c r="O16" s="138"/>
      <c r="P16" s="138"/>
      <c r="Q16" s="144"/>
      <c r="R16" s="139"/>
    </row>
    <row r="17" spans="1:18" s="17" customFormat="1" ht="39.75" customHeight="1" x14ac:dyDescent="0.25">
      <c r="A17" s="134"/>
      <c r="B17" s="135"/>
      <c r="C17" s="136"/>
      <c r="D17" s="141"/>
      <c r="E17" s="142"/>
      <c r="F17" s="137"/>
      <c r="G17" s="138"/>
      <c r="H17" s="138"/>
      <c r="I17" s="138"/>
      <c r="J17" s="138"/>
      <c r="K17" s="138"/>
      <c r="L17" s="139"/>
      <c r="M17" s="139"/>
      <c r="N17" s="138"/>
      <c r="O17" s="138"/>
      <c r="P17" s="138"/>
      <c r="Q17" s="143"/>
      <c r="R17" s="139"/>
    </row>
    <row r="18" spans="1:18" s="17" customFormat="1" ht="39.75" customHeight="1" x14ac:dyDescent="0.25">
      <c r="A18" s="134"/>
      <c r="B18" s="135"/>
      <c r="C18" s="136"/>
      <c r="D18" s="141"/>
      <c r="E18" s="142"/>
      <c r="F18" s="137"/>
      <c r="G18" s="138"/>
      <c r="H18" s="138"/>
      <c r="I18" s="138"/>
      <c r="J18" s="138"/>
      <c r="K18" s="138"/>
      <c r="L18" s="139"/>
      <c r="M18" s="139"/>
      <c r="N18" s="138"/>
      <c r="O18" s="138"/>
      <c r="P18" s="138"/>
      <c r="Q18" s="144"/>
      <c r="R18" s="139"/>
    </row>
    <row r="19" spans="1:18" s="17" customFormat="1" ht="39.75" customHeight="1" x14ac:dyDescent="0.25">
      <c r="A19" s="134"/>
      <c r="B19" s="135"/>
      <c r="C19" s="136"/>
      <c r="D19" s="141"/>
      <c r="E19" s="142"/>
      <c r="F19" s="137"/>
      <c r="G19" s="138"/>
      <c r="H19" s="138"/>
      <c r="I19" s="138"/>
      <c r="J19" s="138"/>
      <c r="K19" s="138"/>
      <c r="L19" s="139"/>
      <c r="M19" s="139"/>
      <c r="N19" s="138"/>
      <c r="O19" s="138"/>
      <c r="P19" s="138"/>
      <c r="Q19" s="143"/>
      <c r="R19" s="139"/>
    </row>
    <row r="20" spans="1:18" s="17" customFormat="1" ht="39.75" customHeight="1" x14ac:dyDescent="0.25">
      <c r="A20" s="134"/>
      <c r="B20" s="135"/>
      <c r="C20" s="136"/>
      <c r="D20" s="141"/>
      <c r="E20" s="142"/>
      <c r="F20" s="137"/>
      <c r="G20" s="138"/>
      <c r="H20" s="138"/>
      <c r="I20" s="138"/>
      <c r="J20" s="138"/>
      <c r="K20" s="138"/>
      <c r="L20" s="139"/>
      <c r="M20" s="139"/>
      <c r="N20" s="138"/>
      <c r="O20" s="138"/>
      <c r="P20" s="138"/>
      <c r="Q20" s="144"/>
      <c r="R20" s="139"/>
    </row>
    <row r="21" spans="1:18" s="17" customFormat="1" ht="39.75" customHeight="1" x14ac:dyDescent="0.25">
      <c r="A21" s="134"/>
      <c r="B21" s="135"/>
      <c r="C21" s="136"/>
      <c r="D21" s="141"/>
      <c r="E21" s="142"/>
      <c r="F21" s="137"/>
      <c r="G21" s="138"/>
      <c r="H21" s="138"/>
      <c r="I21" s="138"/>
      <c r="J21" s="138"/>
      <c r="K21" s="138"/>
      <c r="L21" s="139"/>
      <c r="M21" s="139"/>
      <c r="N21" s="138"/>
      <c r="O21" s="138"/>
      <c r="P21" s="138"/>
      <c r="Q21" s="144"/>
      <c r="R21" s="139"/>
    </row>
    <row r="22" spans="1:18" s="17" customFormat="1" ht="39.75" customHeight="1" x14ac:dyDescent="0.25">
      <c r="A22" s="134"/>
      <c r="B22" s="135"/>
      <c r="C22" s="136"/>
      <c r="D22" s="141"/>
      <c r="E22" s="142"/>
      <c r="F22" s="137"/>
      <c r="G22" s="138"/>
      <c r="H22" s="138"/>
      <c r="I22" s="138"/>
      <c r="J22" s="138"/>
      <c r="K22" s="138"/>
      <c r="L22" s="139"/>
      <c r="M22" s="139"/>
      <c r="N22" s="138"/>
      <c r="O22" s="138"/>
      <c r="P22" s="138"/>
      <c r="Q22" s="143"/>
      <c r="R22" s="139"/>
    </row>
    <row r="23" spans="1:18" s="17" customFormat="1" ht="39.75" customHeight="1" x14ac:dyDescent="0.25">
      <c r="A23" s="134"/>
      <c r="B23" s="135"/>
      <c r="C23" s="136"/>
      <c r="D23" s="141"/>
      <c r="E23" s="142"/>
      <c r="F23" s="137"/>
      <c r="G23" s="138"/>
      <c r="H23" s="138"/>
      <c r="I23" s="138"/>
      <c r="J23" s="138"/>
      <c r="K23" s="138"/>
      <c r="L23" s="139"/>
      <c r="M23" s="139"/>
      <c r="N23" s="138"/>
      <c r="O23" s="138"/>
      <c r="P23" s="138"/>
      <c r="Q23" s="143"/>
      <c r="R23" s="139"/>
    </row>
    <row r="24" spans="1:18" s="17" customFormat="1" ht="39.75" customHeight="1" x14ac:dyDescent="0.25">
      <c r="A24" s="134"/>
      <c r="B24" s="135"/>
      <c r="C24" s="136"/>
      <c r="D24" s="141"/>
      <c r="E24" s="142"/>
      <c r="F24" s="137"/>
      <c r="G24" s="138"/>
      <c r="H24" s="138"/>
      <c r="I24" s="138"/>
      <c r="J24" s="138"/>
      <c r="K24" s="138"/>
      <c r="L24" s="139"/>
      <c r="M24" s="139"/>
      <c r="N24" s="138"/>
      <c r="O24" s="138"/>
      <c r="P24" s="138"/>
      <c r="Q24" s="144"/>
      <c r="R24" s="139"/>
    </row>
    <row r="25" spans="1:18" s="17" customFormat="1" ht="39.75" customHeight="1" x14ac:dyDescent="0.25">
      <c r="A25" s="134"/>
      <c r="B25" s="135"/>
      <c r="C25" s="136"/>
      <c r="D25" s="141"/>
      <c r="E25" s="142"/>
      <c r="F25" s="137"/>
      <c r="G25" s="138"/>
      <c r="H25" s="138"/>
      <c r="I25" s="138"/>
      <c r="J25" s="138"/>
      <c r="K25" s="138"/>
      <c r="L25" s="139"/>
      <c r="M25" s="139"/>
      <c r="N25" s="138"/>
      <c r="O25" s="138"/>
      <c r="P25" s="138"/>
      <c r="Q25" s="144"/>
      <c r="R25" s="139"/>
    </row>
    <row r="26" spans="1:18" s="17" customFormat="1" ht="39.75" customHeight="1" x14ac:dyDescent="0.25">
      <c r="A26" s="134"/>
      <c r="B26" s="135"/>
      <c r="C26" s="136"/>
      <c r="D26" s="141"/>
      <c r="E26" s="142"/>
      <c r="F26" s="137"/>
      <c r="G26" s="138"/>
      <c r="H26" s="138"/>
      <c r="I26" s="138"/>
      <c r="J26" s="138"/>
      <c r="K26" s="138"/>
      <c r="L26" s="139"/>
      <c r="M26" s="139"/>
      <c r="N26" s="138"/>
      <c r="O26" s="138"/>
      <c r="P26" s="138"/>
      <c r="Q26" s="144"/>
      <c r="R26" s="139"/>
    </row>
    <row r="27" spans="1:18" s="17" customFormat="1" ht="39.75" customHeight="1" x14ac:dyDescent="0.25">
      <c r="A27" s="134"/>
      <c r="B27" s="135"/>
      <c r="C27" s="136"/>
      <c r="D27" s="141"/>
      <c r="E27" s="142"/>
      <c r="F27" s="137"/>
      <c r="G27" s="138"/>
      <c r="H27" s="138"/>
      <c r="I27" s="138"/>
      <c r="J27" s="138"/>
      <c r="K27" s="138"/>
      <c r="L27" s="139"/>
      <c r="M27" s="139"/>
      <c r="N27" s="138"/>
      <c r="O27" s="138"/>
      <c r="P27" s="138"/>
      <c r="Q27" s="144"/>
      <c r="R27" s="139"/>
    </row>
    <row r="28" spans="1:18" s="17" customFormat="1" ht="39.75" customHeight="1" x14ac:dyDescent="0.25">
      <c r="A28" s="134"/>
      <c r="B28" s="135"/>
      <c r="C28" s="136"/>
      <c r="D28" s="141"/>
      <c r="E28" s="142"/>
      <c r="F28" s="137"/>
      <c r="G28" s="138"/>
      <c r="H28" s="138"/>
      <c r="I28" s="138"/>
      <c r="J28" s="138"/>
      <c r="K28" s="138"/>
      <c r="L28" s="139"/>
      <c r="M28" s="139"/>
      <c r="N28" s="138"/>
      <c r="O28" s="138"/>
      <c r="P28" s="138"/>
      <c r="Q28" s="144"/>
      <c r="R28" s="139"/>
    </row>
    <row r="29" spans="1:18" s="17" customFormat="1" ht="39.75" customHeight="1" x14ac:dyDescent="0.25">
      <c r="A29" s="134"/>
      <c r="B29" s="135"/>
      <c r="C29" s="136"/>
      <c r="D29" s="141"/>
      <c r="E29" s="142"/>
      <c r="F29" s="137"/>
      <c r="G29" s="138"/>
      <c r="H29" s="138"/>
      <c r="I29" s="138"/>
      <c r="J29" s="138"/>
      <c r="K29" s="138"/>
      <c r="L29" s="139"/>
      <c r="M29" s="139"/>
      <c r="N29" s="138"/>
      <c r="O29" s="138"/>
      <c r="P29" s="138"/>
      <c r="Q29" s="143"/>
      <c r="R29" s="139"/>
    </row>
    <row r="30" spans="1:18" s="17" customFormat="1" ht="39.75" customHeight="1" x14ac:dyDescent="0.25">
      <c r="A30" s="134"/>
      <c r="B30" s="135"/>
      <c r="C30" s="136"/>
      <c r="D30" s="141"/>
      <c r="E30" s="142"/>
      <c r="F30" s="137"/>
      <c r="G30" s="138"/>
      <c r="H30" s="138"/>
      <c r="I30" s="138"/>
      <c r="J30" s="138"/>
      <c r="K30" s="138"/>
      <c r="L30" s="139"/>
      <c r="M30" s="139"/>
      <c r="N30" s="138"/>
      <c r="O30" s="138"/>
      <c r="P30" s="138"/>
      <c r="Q30" s="144"/>
      <c r="R30" s="139"/>
    </row>
    <row r="31" spans="1:18" s="17" customFormat="1" ht="39.75" customHeight="1" x14ac:dyDescent="0.25">
      <c r="A31" s="134"/>
      <c r="B31" s="135"/>
      <c r="C31" s="136"/>
      <c r="D31" s="141"/>
      <c r="E31" s="142"/>
      <c r="F31" s="137"/>
      <c r="G31" s="138"/>
      <c r="H31" s="138"/>
      <c r="I31" s="138"/>
      <c r="J31" s="138"/>
      <c r="K31" s="138"/>
      <c r="L31" s="139"/>
      <c r="M31" s="139"/>
      <c r="N31" s="138"/>
      <c r="O31" s="138"/>
      <c r="P31" s="138"/>
      <c r="Q31" s="144"/>
      <c r="R31" s="139"/>
    </row>
    <row r="32" spans="1:18" s="17" customFormat="1" ht="39.75" customHeight="1" x14ac:dyDescent="0.25">
      <c r="A32" s="134"/>
      <c r="B32" s="135"/>
      <c r="C32" s="136"/>
      <c r="D32" s="141"/>
      <c r="E32" s="142"/>
      <c r="F32" s="137"/>
      <c r="G32" s="138"/>
      <c r="H32" s="138"/>
      <c r="I32" s="138"/>
      <c r="J32" s="138"/>
      <c r="K32" s="138"/>
      <c r="L32" s="139"/>
      <c r="M32" s="139"/>
      <c r="N32" s="138"/>
      <c r="O32" s="138"/>
      <c r="P32" s="138"/>
      <c r="Q32" s="144"/>
      <c r="R32" s="139"/>
    </row>
    <row r="33" spans="1:18" s="17" customFormat="1" ht="39.75" customHeight="1" x14ac:dyDescent="0.25">
      <c r="A33" s="134"/>
      <c r="B33" s="135"/>
      <c r="C33" s="136"/>
      <c r="D33" s="141"/>
      <c r="E33" s="142"/>
      <c r="F33" s="137"/>
      <c r="G33" s="138"/>
      <c r="H33" s="138"/>
      <c r="I33" s="138"/>
      <c r="J33" s="138"/>
      <c r="K33" s="138"/>
      <c r="L33" s="139"/>
      <c r="M33" s="139"/>
      <c r="N33" s="138"/>
      <c r="O33" s="138"/>
      <c r="P33" s="138"/>
      <c r="Q33" s="143"/>
      <c r="R33" s="139"/>
    </row>
    <row r="34" spans="1:18" s="17" customFormat="1" ht="39.75" customHeight="1" x14ac:dyDescent="0.25">
      <c r="A34" s="134"/>
      <c r="B34" s="135"/>
      <c r="C34" s="136"/>
      <c r="D34" s="141"/>
      <c r="E34" s="142"/>
      <c r="F34" s="137"/>
      <c r="G34" s="138"/>
      <c r="H34" s="138"/>
      <c r="I34" s="138"/>
      <c r="J34" s="138"/>
      <c r="K34" s="138"/>
      <c r="L34" s="139"/>
      <c r="M34" s="139"/>
      <c r="N34" s="138"/>
      <c r="O34" s="138"/>
      <c r="P34" s="138"/>
      <c r="Q34" s="144"/>
      <c r="R34" s="139"/>
    </row>
    <row r="35" spans="1:18" s="17" customFormat="1" ht="39.75" customHeight="1" x14ac:dyDescent="0.25">
      <c r="A35" s="134"/>
      <c r="B35" s="135"/>
      <c r="C35" s="136"/>
      <c r="D35" s="141"/>
      <c r="E35" s="142"/>
      <c r="F35" s="137"/>
      <c r="G35" s="138"/>
      <c r="H35" s="138"/>
      <c r="I35" s="138"/>
      <c r="J35" s="138"/>
      <c r="K35" s="138"/>
      <c r="L35" s="139"/>
      <c r="M35" s="139"/>
      <c r="N35" s="138"/>
      <c r="O35" s="138"/>
      <c r="P35" s="138"/>
      <c r="Q35" s="144"/>
      <c r="R35" s="139"/>
    </row>
    <row r="36" spans="1:18" s="17" customFormat="1" ht="39.75" customHeight="1" x14ac:dyDescent="0.25">
      <c r="A36" s="134"/>
      <c r="B36" s="135"/>
      <c r="C36" s="136"/>
      <c r="D36" s="141"/>
      <c r="E36" s="142"/>
      <c r="F36" s="137"/>
      <c r="G36" s="138"/>
      <c r="H36" s="138"/>
      <c r="I36" s="138"/>
      <c r="J36" s="138"/>
      <c r="K36" s="138"/>
      <c r="L36" s="139"/>
      <c r="M36" s="139"/>
      <c r="N36" s="138"/>
      <c r="O36" s="138"/>
      <c r="P36" s="138"/>
      <c r="Q36" s="144"/>
      <c r="R36" s="139"/>
    </row>
    <row r="37" spans="1:18" s="17" customFormat="1" ht="39.75" customHeight="1" x14ac:dyDescent="0.25">
      <c r="A37" s="134"/>
      <c r="B37" s="135"/>
      <c r="C37" s="136"/>
      <c r="D37" s="141"/>
      <c r="E37" s="142"/>
      <c r="F37" s="137"/>
      <c r="G37" s="138"/>
      <c r="H37" s="138"/>
      <c r="I37" s="138"/>
      <c r="J37" s="138"/>
      <c r="K37" s="138"/>
      <c r="L37" s="139"/>
      <c r="M37" s="139"/>
      <c r="N37" s="138"/>
      <c r="O37" s="138"/>
      <c r="P37" s="138"/>
      <c r="Q37" s="144"/>
      <c r="R37" s="139"/>
    </row>
    <row r="38" spans="1:18" s="17" customFormat="1" ht="39.75" customHeight="1" x14ac:dyDescent="0.25">
      <c r="A38" s="134"/>
      <c r="B38" s="135"/>
      <c r="C38" s="136"/>
      <c r="D38" s="141"/>
      <c r="E38" s="142"/>
      <c r="F38" s="137"/>
      <c r="G38" s="138"/>
      <c r="H38" s="138"/>
      <c r="I38" s="138"/>
      <c r="J38" s="138"/>
      <c r="K38" s="138"/>
      <c r="L38" s="139"/>
      <c r="M38" s="139"/>
      <c r="N38" s="138"/>
      <c r="O38" s="138"/>
      <c r="P38" s="138"/>
      <c r="Q38" s="144"/>
      <c r="R38" s="139"/>
    </row>
    <row r="39" spans="1:18" s="17" customFormat="1" ht="39.75" customHeight="1" x14ac:dyDescent="0.25">
      <c r="A39" s="134"/>
      <c r="B39" s="135"/>
      <c r="C39" s="136"/>
      <c r="D39" s="141"/>
      <c r="E39" s="142"/>
      <c r="F39" s="137"/>
      <c r="G39" s="138"/>
      <c r="H39" s="138"/>
      <c r="I39" s="138"/>
      <c r="J39" s="138"/>
      <c r="K39" s="138"/>
      <c r="L39" s="139"/>
      <c r="M39" s="139"/>
      <c r="N39" s="138"/>
      <c r="O39" s="138"/>
      <c r="P39" s="138"/>
      <c r="Q39" s="144"/>
      <c r="R39" s="139"/>
    </row>
    <row r="40" spans="1:18" s="17" customFormat="1" ht="39.75" customHeight="1" x14ac:dyDescent="0.25">
      <c r="A40" s="134"/>
      <c r="B40" s="135"/>
      <c r="C40" s="136"/>
      <c r="D40" s="141"/>
      <c r="E40" s="142"/>
      <c r="F40" s="137"/>
      <c r="G40" s="138"/>
      <c r="H40" s="138"/>
      <c r="I40" s="138"/>
      <c r="J40" s="138"/>
      <c r="K40" s="138"/>
      <c r="L40" s="139"/>
      <c r="M40" s="139"/>
      <c r="N40" s="138"/>
      <c r="O40" s="138"/>
      <c r="P40" s="138"/>
      <c r="Q40" s="144"/>
      <c r="R40" s="139"/>
    </row>
    <row r="41" spans="1:18" s="17" customFormat="1" ht="39.75" customHeight="1" x14ac:dyDescent="0.25">
      <c r="A41" s="134"/>
      <c r="B41" s="135"/>
      <c r="C41" s="136"/>
      <c r="D41" s="141"/>
      <c r="E41" s="142"/>
      <c r="F41" s="137"/>
      <c r="G41" s="138"/>
      <c r="H41" s="138"/>
      <c r="I41" s="138"/>
      <c r="J41" s="138"/>
      <c r="K41" s="138"/>
      <c r="L41" s="139"/>
      <c r="M41" s="139"/>
      <c r="N41" s="138"/>
      <c r="O41" s="138"/>
      <c r="P41" s="138"/>
      <c r="Q41" s="144"/>
      <c r="R41" s="139"/>
    </row>
    <row r="42" spans="1:18" s="17" customFormat="1" ht="39.75" customHeight="1" x14ac:dyDescent="0.25">
      <c r="A42" s="134"/>
      <c r="B42" s="135"/>
      <c r="C42" s="136"/>
      <c r="D42" s="141"/>
      <c r="E42" s="142"/>
      <c r="F42" s="137"/>
      <c r="G42" s="138"/>
      <c r="H42" s="138"/>
      <c r="I42" s="138"/>
      <c r="J42" s="138"/>
      <c r="K42" s="138"/>
      <c r="L42" s="139"/>
      <c r="M42" s="139"/>
      <c r="N42" s="138"/>
      <c r="O42" s="138"/>
      <c r="P42" s="138"/>
      <c r="Q42" s="144"/>
      <c r="R42" s="139"/>
    </row>
    <row r="43" spans="1:18" s="17" customFormat="1" ht="39.75" customHeight="1" x14ac:dyDescent="0.25">
      <c r="A43" s="134"/>
      <c r="B43" s="135"/>
      <c r="C43" s="136"/>
      <c r="D43" s="141"/>
      <c r="E43" s="142"/>
      <c r="F43" s="137"/>
      <c r="G43" s="138"/>
      <c r="H43" s="138"/>
      <c r="I43" s="138"/>
      <c r="J43" s="138"/>
      <c r="K43" s="138"/>
      <c r="L43" s="139"/>
      <c r="M43" s="139"/>
      <c r="N43" s="138"/>
      <c r="O43" s="138"/>
      <c r="P43" s="138"/>
      <c r="Q43" s="144"/>
      <c r="R43" s="139"/>
    </row>
    <row r="44" spans="1:18" s="17" customFormat="1" ht="39.75" customHeight="1" x14ac:dyDescent="0.25">
      <c r="A44" s="134"/>
      <c r="B44" s="135"/>
      <c r="C44" s="136"/>
      <c r="D44" s="141"/>
      <c r="E44" s="142"/>
      <c r="F44" s="137"/>
      <c r="G44" s="138"/>
      <c r="H44" s="138"/>
      <c r="I44" s="138"/>
      <c r="J44" s="138"/>
      <c r="K44" s="138"/>
      <c r="L44" s="139"/>
      <c r="M44" s="139"/>
      <c r="N44" s="138"/>
      <c r="O44" s="138"/>
      <c r="P44" s="138"/>
      <c r="Q44" s="144"/>
      <c r="R44" s="139"/>
    </row>
    <row r="45" spans="1:18" s="17" customFormat="1" ht="39.75" customHeight="1" x14ac:dyDescent="0.25">
      <c r="A45" s="134"/>
      <c r="B45" s="135"/>
      <c r="C45" s="136"/>
      <c r="D45" s="141"/>
      <c r="E45" s="142"/>
      <c r="F45" s="137"/>
      <c r="G45" s="138"/>
      <c r="H45" s="138"/>
      <c r="I45" s="138"/>
      <c r="J45" s="138"/>
      <c r="K45" s="138"/>
      <c r="L45" s="139"/>
      <c r="M45" s="139"/>
      <c r="N45" s="138"/>
      <c r="O45" s="138"/>
      <c r="P45" s="138"/>
      <c r="Q45" s="144"/>
      <c r="R45" s="139"/>
    </row>
    <row r="46" spans="1:18" s="17" customFormat="1" ht="39.75" customHeight="1" x14ac:dyDescent="0.25">
      <c r="A46" s="134"/>
      <c r="B46" s="135"/>
      <c r="C46" s="136"/>
      <c r="D46" s="141"/>
      <c r="E46" s="142"/>
      <c r="F46" s="137"/>
      <c r="G46" s="138"/>
      <c r="H46" s="138"/>
      <c r="I46" s="138"/>
      <c r="J46" s="138"/>
      <c r="K46" s="138"/>
      <c r="L46" s="139"/>
      <c r="M46" s="139"/>
      <c r="N46" s="138"/>
      <c r="O46" s="138"/>
      <c r="P46" s="138"/>
      <c r="Q46" s="143"/>
      <c r="R46" s="139"/>
    </row>
    <row r="47" spans="1:18" s="17" customFormat="1" ht="39.75" customHeight="1" x14ac:dyDescent="0.25">
      <c r="A47" s="134"/>
      <c r="B47" s="135"/>
      <c r="C47" s="136"/>
      <c r="D47" s="141"/>
      <c r="E47" s="142"/>
      <c r="F47" s="137"/>
      <c r="G47" s="138"/>
      <c r="H47" s="138"/>
      <c r="I47" s="138"/>
      <c r="J47" s="138"/>
      <c r="K47" s="138"/>
      <c r="L47" s="139"/>
      <c r="M47" s="139"/>
      <c r="N47" s="138"/>
      <c r="O47" s="138"/>
      <c r="P47" s="138"/>
      <c r="Q47" s="144"/>
      <c r="R47" s="139"/>
    </row>
    <row r="48" spans="1:18" s="17" customFormat="1" ht="39.75" customHeight="1" x14ac:dyDescent="0.25">
      <c r="A48" s="134"/>
      <c r="B48" s="135"/>
      <c r="C48" s="136"/>
      <c r="D48" s="141"/>
      <c r="E48" s="142"/>
      <c r="F48" s="137"/>
      <c r="G48" s="138"/>
      <c r="H48" s="138"/>
      <c r="I48" s="138"/>
      <c r="J48" s="138"/>
      <c r="K48" s="138"/>
      <c r="L48" s="139"/>
      <c r="M48" s="139"/>
      <c r="N48" s="138"/>
      <c r="O48" s="138"/>
      <c r="P48" s="138"/>
      <c r="Q48" s="144"/>
      <c r="R48" s="139"/>
    </row>
    <row r="49" spans="1:18" s="17" customFormat="1" ht="39.75" customHeight="1" x14ac:dyDescent="0.25">
      <c r="A49" s="134"/>
      <c r="B49" s="135"/>
      <c r="C49" s="136"/>
      <c r="D49" s="141"/>
      <c r="E49" s="142"/>
      <c r="F49" s="137"/>
      <c r="G49" s="138"/>
      <c r="H49" s="138"/>
      <c r="I49" s="138"/>
      <c r="J49" s="138"/>
      <c r="K49" s="138"/>
      <c r="L49" s="139"/>
      <c r="M49" s="139"/>
      <c r="N49" s="138"/>
      <c r="O49" s="138"/>
      <c r="P49" s="138"/>
      <c r="Q49" s="144"/>
      <c r="R49" s="139"/>
    </row>
    <row r="50" spans="1:18" s="17" customFormat="1" ht="39.75" customHeight="1" x14ac:dyDescent="0.25">
      <c r="A50" s="134"/>
      <c r="B50" s="135"/>
      <c r="C50" s="136"/>
      <c r="D50" s="141"/>
      <c r="E50" s="142"/>
      <c r="F50" s="137"/>
      <c r="G50" s="138"/>
      <c r="H50" s="138"/>
      <c r="I50" s="138"/>
      <c r="J50" s="138"/>
      <c r="K50" s="138"/>
      <c r="L50" s="139"/>
      <c r="M50" s="139"/>
      <c r="N50" s="138"/>
      <c r="O50" s="138"/>
      <c r="P50" s="138"/>
      <c r="Q50" s="144"/>
      <c r="R50" s="139"/>
    </row>
    <row r="51" spans="1:18" s="17" customFormat="1" ht="39.75" customHeight="1" x14ac:dyDescent="0.25">
      <c r="A51" s="134"/>
      <c r="B51" s="135"/>
      <c r="C51" s="136"/>
      <c r="D51" s="141"/>
      <c r="E51" s="142"/>
      <c r="F51" s="137"/>
      <c r="G51" s="138"/>
      <c r="H51" s="138"/>
      <c r="I51" s="138"/>
      <c r="J51" s="138"/>
      <c r="K51" s="138"/>
      <c r="L51" s="139"/>
      <c r="M51" s="139"/>
      <c r="N51" s="138"/>
      <c r="O51" s="138"/>
      <c r="P51" s="138"/>
      <c r="Q51" s="144"/>
      <c r="R51" s="139"/>
    </row>
    <row r="52" spans="1:18" s="17" customFormat="1" ht="39.75" customHeight="1" x14ac:dyDescent="0.25">
      <c r="A52" s="134"/>
      <c r="B52" s="135"/>
      <c r="C52" s="136"/>
      <c r="D52" s="141"/>
      <c r="E52" s="142"/>
      <c r="F52" s="137"/>
      <c r="G52" s="138"/>
      <c r="H52" s="138"/>
      <c r="I52" s="138"/>
      <c r="J52" s="138"/>
      <c r="K52" s="138"/>
      <c r="L52" s="139"/>
      <c r="M52" s="139"/>
      <c r="N52" s="138"/>
      <c r="O52" s="138"/>
      <c r="P52" s="138"/>
      <c r="Q52" s="143"/>
      <c r="R52" s="139"/>
    </row>
    <row r="53" spans="1:18" s="17" customFormat="1" ht="39.75" customHeight="1" x14ac:dyDescent="0.25">
      <c r="A53" s="134"/>
      <c r="B53" s="135"/>
      <c r="C53" s="136"/>
      <c r="D53" s="141"/>
      <c r="E53" s="142"/>
      <c r="F53" s="137"/>
      <c r="G53" s="138"/>
      <c r="H53" s="138"/>
      <c r="I53" s="138"/>
      <c r="J53" s="138"/>
      <c r="K53" s="138"/>
      <c r="L53" s="139"/>
      <c r="M53" s="139"/>
      <c r="N53" s="138"/>
      <c r="O53" s="138"/>
      <c r="P53" s="138"/>
      <c r="Q53" s="138"/>
      <c r="R53" s="139"/>
    </row>
    <row r="54" spans="1:18" s="17" customFormat="1" ht="39.75" customHeight="1" x14ac:dyDescent="0.25">
      <c r="A54" s="134"/>
      <c r="B54" s="135"/>
      <c r="C54" s="136"/>
      <c r="D54" s="141"/>
      <c r="E54" s="142"/>
      <c r="F54" s="137"/>
      <c r="G54" s="138"/>
      <c r="H54" s="138"/>
      <c r="I54" s="138"/>
      <c r="J54" s="138"/>
      <c r="K54" s="138"/>
      <c r="L54" s="139"/>
      <c r="M54" s="139"/>
      <c r="N54" s="138"/>
      <c r="O54" s="138"/>
      <c r="P54" s="138"/>
      <c r="Q54" s="138"/>
      <c r="R54" s="139"/>
    </row>
    <row r="55" spans="1:18" s="17" customFormat="1" ht="39.75" customHeight="1" x14ac:dyDescent="0.25">
      <c r="A55" s="134"/>
      <c r="B55" s="135"/>
      <c r="C55" s="136"/>
      <c r="D55" s="141"/>
      <c r="E55" s="142"/>
      <c r="F55" s="137"/>
      <c r="G55" s="138"/>
      <c r="H55" s="138"/>
      <c r="I55" s="138"/>
      <c r="J55" s="138"/>
      <c r="K55" s="138"/>
      <c r="L55" s="139"/>
      <c r="M55" s="139"/>
      <c r="N55" s="138"/>
      <c r="O55" s="138"/>
      <c r="P55" s="138"/>
      <c r="Q55" s="140"/>
      <c r="R55" s="139"/>
    </row>
    <row r="56" spans="1:18" s="17" customFormat="1" ht="39.75" customHeight="1" x14ac:dyDescent="0.25">
      <c r="A56" s="134"/>
      <c r="B56" s="135"/>
      <c r="C56" s="136"/>
      <c r="D56" s="141"/>
      <c r="E56" s="142"/>
      <c r="F56" s="137"/>
      <c r="G56" s="138"/>
      <c r="H56" s="138"/>
      <c r="I56" s="138"/>
      <c r="J56" s="138"/>
      <c r="K56" s="138"/>
      <c r="L56" s="139"/>
      <c r="M56" s="139"/>
      <c r="N56" s="138"/>
      <c r="O56" s="138"/>
      <c r="P56" s="138"/>
      <c r="Q56" s="138"/>
      <c r="R56" s="139"/>
    </row>
    <row r="57" spans="1:18" s="17" customFormat="1" ht="39.75" customHeight="1" x14ac:dyDescent="0.25">
      <c r="A57" s="134"/>
      <c r="B57" s="135"/>
      <c r="C57" s="136"/>
      <c r="D57" s="141"/>
      <c r="E57" s="142"/>
      <c r="F57" s="137"/>
      <c r="G57" s="138"/>
      <c r="H57" s="138"/>
      <c r="I57" s="138"/>
      <c r="J57" s="138"/>
      <c r="K57" s="138"/>
      <c r="L57" s="139"/>
      <c r="M57" s="139"/>
      <c r="N57" s="138"/>
      <c r="O57" s="138"/>
      <c r="P57" s="138"/>
      <c r="Q57" s="138"/>
      <c r="R57" s="139"/>
    </row>
    <row r="58" spans="1:18" s="17" customFormat="1" ht="39.75" customHeight="1" x14ac:dyDescent="0.25">
      <c r="A58" s="134"/>
      <c r="B58" s="135"/>
      <c r="C58" s="136"/>
      <c r="D58" s="141"/>
      <c r="E58" s="142"/>
      <c r="F58" s="137"/>
      <c r="G58" s="138"/>
      <c r="H58" s="138"/>
      <c r="I58" s="138"/>
      <c r="J58" s="138"/>
      <c r="K58" s="138"/>
      <c r="L58" s="139"/>
      <c r="M58" s="139"/>
      <c r="N58" s="138"/>
      <c r="O58" s="138"/>
      <c r="P58" s="138"/>
      <c r="Q58" s="140"/>
      <c r="R58" s="139"/>
    </row>
    <row r="59" spans="1:18" s="17" customFormat="1" ht="39.75" customHeight="1" x14ac:dyDescent="0.25">
      <c r="A59" s="134"/>
      <c r="B59" s="135"/>
      <c r="C59" s="136"/>
      <c r="D59" s="141"/>
      <c r="E59" s="142"/>
      <c r="F59" s="137"/>
      <c r="G59" s="138"/>
      <c r="H59" s="138"/>
      <c r="I59" s="138"/>
      <c r="J59" s="138"/>
      <c r="K59" s="138"/>
      <c r="L59" s="139"/>
      <c r="M59" s="139"/>
      <c r="N59" s="138"/>
      <c r="O59" s="138"/>
      <c r="P59" s="138"/>
      <c r="Q59" s="140"/>
      <c r="R59" s="139"/>
    </row>
    <row r="60" spans="1:18" s="17" customFormat="1" ht="39.75" customHeight="1" x14ac:dyDescent="0.25">
      <c r="A60" s="134"/>
      <c r="B60" s="135"/>
      <c r="C60" s="136"/>
      <c r="D60" s="141"/>
      <c r="E60" s="142"/>
      <c r="F60" s="137"/>
      <c r="G60" s="138"/>
      <c r="H60" s="138"/>
      <c r="I60" s="138"/>
      <c r="J60" s="138"/>
      <c r="K60" s="138"/>
      <c r="L60" s="139"/>
      <c r="M60" s="139"/>
      <c r="N60" s="138"/>
      <c r="O60" s="138"/>
      <c r="P60" s="138"/>
      <c r="Q60" s="138"/>
      <c r="R60" s="139"/>
    </row>
    <row r="61" spans="1:18" s="17" customFormat="1" ht="39.75" customHeight="1" x14ac:dyDescent="0.25">
      <c r="A61" s="134"/>
      <c r="B61" s="135"/>
      <c r="C61" s="136"/>
      <c r="D61" s="141"/>
      <c r="E61" s="142"/>
      <c r="F61" s="137"/>
      <c r="G61" s="138"/>
      <c r="H61" s="138"/>
      <c r="I61" s="138"/>
      <c r="J61" s="138"/>
      <c r="K61" s="138"/>
      <c r="L61" s="139"/>
      <c r="M61" s="139"/>
      <c r="N61" s="138"/>
      <c r="O61" s="138"/>
      <c r="P61" s="138"/>
      <c r="Q61" s="138"/>
      <c r="R61" s="139"/>
    </row>
    <row r="62" spans="1:18" s="17" customFormat="1" ht="39.75" customHeight="1" x14ac:dyDescent="0.25">
      <c r="A62" s="134"/>
      <c r="B62" s="135"/>
      <c r="C62" s="136"/>
      <c r="D62" s="141"/>
      <c r="E62" s="142"/>
      <c r="F62" s="137"/>
      <c r="G62" s="138"/>
      <c r="H62" s="138"/>
      <c r="I62" s="138"/>
      <c r="J62" s="138"/>
      <c r="K62" s="138"/>
      <c r="L62" s="139"/>
      <c r="M62" s="139"/>
      <c r="N62" s="138"/>
      <c r="O62" s="138"/>
      <c r="P62" s="138"/>
      <c r="Q62" s="138"/>
      <c r="R62" s="139"/>
    </row>
    <row r="63" spans="1:18" s="17" customFormat="1" ht="39.75" customHeight="1" x14ac:dyDescent="0.25">
      <c r="A63" s="134"/>
      <c r="B63" s="135"/>
      <c r="C63" s="136"/>
      <c r="D63" s="141"/>
      <c r="E63" s="142"/>
      <c r="F63" s="137"/>
      <c r="G63" s="138"/>
      <c r="H63" s="138"/>
      <c r="I63" s="138"/>
      <c r="J63" s="138"/>
      <c r="K63" s="138"/>
      <c r="L63" s="139"/>
      <c r="M63" s="139"/>
      <c r="N63" s="138"/>
      <c r="O63" s="138"/>
      <c r="P63" s="138"/>
      <c r="Q63" s="140"/>
      <c r="R63" s="139"/>
    </row>
    <row r="64" spans="1:18" s="17" customFormat="1" ht="39.75" customHeight="1" x14ac:dyDescent="0.25">
      <c r="A64" s="134"/>
      <c r="B64" s="135"/>
      <c r="C64" s="136"/>
      <c r="D64" s="141"/>
      <c r="E64" s="142"/>
      <c r="F64" s="137"/>
      <c r="G64" s="138"/>
      <c r="H64" s="138"/>
      <c r="I64" s="138"/>
      <c r="J64" s="138"/>
      <c r="K64" s="138"/>
      <c r="L64" s="139"/>
      <c r="M64" s="139"/>
      <c r="N64" s="138"/>
      <c r="O64" s="138"/>
      <c r="P64" s="138"/>
      <c r="Q64" s="138"/>
      <c r="R64" s="139"/>
    </row>
    <row r="65" spans="1:18" s="17" customFormat="1" ht="39.75" customHeight="1" x14ac:dyDescent="0.25">
      <c r="A65" s="134"/>
      <c r="B65" s="135"/>
      <c r="C65" s="136"/>
      <c r="D65" s="141"/>
      <c r="E65" s="142"/>
      <c r="F65" s="137"/>
      <c r="G65" s="138"/>
      <c r="H65" s="138"/>
      <c r="I65" s="138"/>
      <c r="J65" s="138"/>
      <c r="K65" s="138"/>
      <c r="L65" s="139"/>
      <c r="M65" s="139"/>
      <c r="N65" s="138"/>
      <c r="O65" s="138"/>
      <c r="P65" s="138"/>
      <c r="Q65" s="140"/>
      <c r="R65" s="139"/>
    </row>
    <row r="66" spans="1:18" s="17" customFormat="1" ht="39.75" customHeight="1" x14ac:dyDescent="0.25">
      <c r="A66" s="134"/>
      <c r="B66" s="135"/>
      <c r="C66" s="136"/>
      <c r="D66" s="141"/>
      <c r="E66" s="142"/>
      <c r="F66" s="137"/>
      <c r="G66" s="138"/>
      <c r="H66" s="138"/>
      <c r="I66" s="138"/>
      <c r="J66" s="138"/>
      <c r="K66" s="138"/>
      <c r="L66" s="139"/>
      <c r="M66" s="139"/>
      <c r="N66" s="138"/>
      <c r="O66" s="138"/>
      <c r="P66" s="138"/>
      <c r="Q66" s="138"/>
      <c r="R66" s="139"/>
    </row>
    <row r="67" spans="1:18" s="17" customFormat="1" ht="39.75" customHeight="1" x14ac:dyDescent="0.25">
      <c r="A67" s="134"/>
      <c r="B67" s="135"/>
      <c r="C67" s="136"/>
      <c r="D67" s="141"/>
      <c r="E67" s="142"/>
      <c r="F67" s="137"/>
      <c r="G67" s="138"/>
      <c r="H67" s="138"/>
      <c r="I67" s="138"/>
      <c r="J67" s="138"/>
      <c r="K67" s="138"/>
      <c r="L67" s="139"/>
      <c r="M67" s="139"/>
      <c r="N67" s="138"/>
      <c r="O67" s="138"/>
      <c r="P67" s="138"/>
      <c r="Q67" s="138"/>
      <c r="R67" s="139"/>
    </row>
    <row r="68" spans="1:18" s="17" customFormat="1" ht="39.75" customHeight="1" x14ac:dyDescent="0.25">
      <c r="A68" s="134"/>
      <c r="B68" s="135"/>
      <c r="C68" s="136"/>
      <c r="D68" s="141"/>
      <c r="E68" s="142"/>
      <c r="F68" s="137"/>
      <c r="G68" s="138"/>
      <c r="H68" s="138"/>
      <c r="I68" s="138"/>
      <c r="J68" s="138"/>
      <c r="K68" s="138"/>
      <c r="L68" s="139"/>
      <c r="M68" s="139"/>
      <c r="N68" s="138"/>
      <c r="O68" s="138"/>
      <c r="P68" s="138"/>
      <c r="Q68" s="138"/>
      <c r="R68" s="139"/>
    </row>
    <row r="69" spans="1:18" s="17" customFormat="1" ht="39.75" customHeight="1" x14ac:dyDescent="0.25">
      <c r="A69" s="134"/>
      <c r="B69" s="135"/>
      <c r="C69" s="136"/>
      <c r="D69" s="141"/>
      <c r="E69" s="142"/>
      <c r="F69" s="137"/>
      <c r="G69" s="138"/>
      <c r="H69" s="138"/>
      <c r="I69" s="138"/>
      <c r="J69" s="138"/>
      <c r="K69" s="138"/>
      <c r="L69" s="139"/>
      <c r="M69" s="139"/>
      <c r="N69" s="138"/>
      <c r="O69" s="138"/>
      <c r="P69" s="138"/>
      <c r="Q69" s="140"/>
      <c r="R69" s="139"/>
    </row>
    <row r="70" spans="1:18" s="17" customFormat="1" ht="39.75" customHeight="1" x14ac:dyDescent="0.25">
      <c r="A70" s="134"/>
      <c r="B70" s="135"/>
      <c r="C70" s="136"/>
      <c r="D70" s="141"/>
      <c r="E70" s="142"/>
      <c r="F70" s="137"/>
      <c r="G70" s="138"/>
      <c r="H70" s="138"/>
      <c r="I70" s="138"/>
      <c r="J70" s="138"/>
      <c r="K70" s="138"/>
      <c r="L70" s="139"/>
      <c r="M70" s="139"/>
      <c r="N70" s="138"/>
      <c r="O70" s="138"/>
      <c r="P70" s="138"/>
      <c r="Q70" s="138"/>
      <c r="R70" s="139"/>
    </row>
    <row r="71" spans="1:18" s="17" customFormat="1" ht="39.75" customHeight="1" x14ac:dyDescent="0.25">
      <c r="A71" s="134"/>
      <c r="B71" s="135"/>
      <c r="C71" s="136"/>
      <c r="D71" s="141"/>
      <c r="E71" s="142"/>
      <c r="F71" s="137"/>
      <c r="G71" s="138"/>
      <c r="H71" s="138"/>
      <c r="I71" s="138"/>
      <c r="J71" s="138"/>
      <c r="K71" s="138"/>
      <c r="L71" s="139"/>
      <c r="M71" s="139"/>
      <c r="N71" s="138"/>
      <c r="O71" s="138"/>
      <c r="P71" s="138"/>
      <c r="Q71" s="138"/>
      <c r="R71" s="139"/>
    </row>
    <row r="72" spans="1:18" s="17" customFormat="1" ht="39.75" customHeight="1" x14ac:dyDescent="0.25">
      <c r="A72" s="134"/>
      <c r="B72" s="135"/>
      <c r="C72" s="136"/>
      <c r="D72" s="141"/>
      <c r="E72" s="142"/>
      <c r="F72" s="137"/>
      <c r="G72" s="138"/>
      <c r="H72" s="138"/>
      <c r="I72" s="138"/>
      <c r="J72" s="138"/>
      <c r="K72" s="138"/>
      <c r="L72" s="139"/>
      <c r="M72" s="139"/>
      <c r="N72" s="138"/>
      <c r="O72" s="138"/>
      <c r="P72" s="138"/>
      <c r="Q72" s="140"/>
      <c r="R72" s="139"/>
    </row>
    <row r="73" spans="1:18" s="17" customFormat="1" ht="39.75" customHeight="1" x14ac:dyDescent="0.25">
      <c r="A73" s="134"/>
      <c r="B73" s="135"/>
      <c r="C73" s="136"/>
      <c r="D73" s="141"/>
      <c r="E73" s="142"/>
      <c r="F73" s="137"/>
      <c r="G73" s="138"/>
      <c r="H73" s="138"/>
      <c r="I73" s="138"/>
      <c r="J73" s="138"/>
      <c r="K73" s="138"/>
      <c r="L73" s="139"/>
      <c r="M73" s="139"/>
      <c r="N73" s="138"/>
      <c r="O73" s="138"/>
      <c r="P73" s="138"/>
      <c r="Q73" s="140"/>
      <c r="R73" s="139"/>
    </row>
    <row r="74" spans="1:18" s="17" customFormat="1" ht="39.75" customHeight="1" x14ac:dyDescent="0.25">
      <c r="A74" s="134"/>
      <c r="B74" s="135"/>
      <c r="C74" s="136"/>
      <c r="D74" s="141"/>
      <c r="E74" s="142"/>
      <c r="F74" s="137"/>
      <c r="G74" s="138"/>
      <c r="H74" s="138"/>
      <c r="I74" s="138"/>
      <c r="J74" s="138"/>
      <c r="K74" s="138"/>
      <c r="L74" s="139"/>
      <c r="M74" s="139"/>
      <c r="N74" s="138"/>
      <c r="O74" s="138"/>
      <c r="P74" s="138"/>
      <c r="Q74" s="140"/>
      <c r="R74" s="139"/>
    </row>
    <row r="75" spans="1:18" s="17" customFormat="1" ht="39.75" customHeight="1" x14ac:dyDescent="0.25">
      <c r="A75" s="134"/>
      <c r="B75" s="135"/>
      <c r="C75" s="136"/>
      <c r="D75" s="141"/>
      <c r="E75" s="142"/>
      <c r="F75" s="137"/>
      <c r="G75" s="138"/>
      <c r="H75" s="138"/>
      <c r="I75" s="138"/>
      <c r="J75" s="138"/>
      <c r="K75" s="138"/>
      <c r="L75" s="139"/>
      <c r="M75" s="139"/>
      <c r="N75" s="138"/>
      <c r="O75" s="138"/>
      <c r="P75" s="138"/>
      <c r="Q75" s="140"/>
      <c r="R75" s="139"/>
    </row>
    <row r="76" spans="1:18" s="17" customFormat="1" ht="39.75" customHeight="1" x14ac:dyDescent="0.25">
      <c r="A76" s="134"/>
      <c r="B76" s="135"/>
      <c r="C76" s="136"/>
      <c r="D76" s="141"/>
      <c r="E76" s="142"/>
      <c r="F76" s="137"/>
      <c r="G76" s="138"/>
      <c r="H76" s="138"/>
      <c r="I76" s="138"/>
      <c r="J76" s="138"/>
      <c r="K76" s="138"/>
      <c r="L76" s="139"/>
      <c r="M76" s="139"/>
      <c r="N76" s="138"/>
      <c r="O76" s="138"/>
      <c r="P76" s="138"/>
      <c r="Q76" s="140"/>
      <c r="R76" s="139"/>
    </row>
    <row r="77" spans="1:18" s="17" customFormat="1" ht="39.75" customHeight="1" x14ac:dyDescent="0.25">
      <c r="A77" s="134"/>
      <c r="B77" s="135"/>
      <c r="C77" s="136"/>
      <c r="D77" s="141"/>
      <c r="E77" s="142"/>
      <c r="F77" s="137"/>
      <c r="G77" s="138"/>
      <c r="H77" s="138"/>
      <c r="I77" s="138"/>
      <c r="J77" s="138"/>
      <c r="K77" s="138"/>
      <c r="L77" s="139"/>
      <c r="M77" s="139"/>
      <c r="N77" s="138"/>
      <c r="O77" s="138"/>
      <c r="P77" s="138"/>
      <c r="Q77" s="138"/>
      <c r="R77" s="139"/>
    </row>
    <row r="78" spans="1:18" s="17" customFormat="1" ht="39.75" customHeight="1" x14ac:dyDescent="0.25">
      <c r="A78" s="134"/>
      <c r="B78" s="135"/>
      <c r="C78" s="136"/>
      <c r="D78" s="141"/>
      <c r="E78" s="142"/>
      <c r="F78" s="137"/>
      <c r="G78" s="138"/>
      <c r="H78" s="138"/>
      <c r="I78" s="138"/>
      <c r="J78" s="138"/>
      <c r="K78" s="138"/>
      <c r="L78" s="139"/>
      <c r="M78" s="139"/>
      <c r="N78" s="138"/>
      <c r="O78" s="138"/>
      <c r="P78" s="138"/>
      <c r="Q78" s="138"/>
      <c r="R78" s="139"/>
    </row>
    <row r="79" spans="1:18" s="17" customFormat="1" ht="39.75" customHeight="1" x14ac:dyDescent="0.25">
      <c r="A79" s="134"/>
      <c r="B79" s="135"/>
      <c r="C79" s="136"/>
      <c r="D79" s="141"/>
      <c r="E79" s="142"/>
      <c r="F79" s="137"/>
      <c r="G79" s="138"/>
      <c r="H79" s="138"/>
      <c r="I79" s="138"/>
      <c r="J79" s="138"/>
      <c r="K79" s="138"/>
      <c r="L79" s="139"/>
      <c r="M79" s="139"/>
      <c r="N79" s="138"/>
      <c r="O79" s="138"/>
      <c r="P79" s="138"/>
      <c r="Q79" s="140"/>
      <c r="R79" s="139"/>
    </row>
    <row r="80" spans="1:18" s="17" customFormat="1" ht="39.75" customHeight="1" x14ac:dyDescent="0.25">
      <c r="A80" s="134"/>
      <c r="B80" s="135"/>
      <c r="C80" s="136"/>
      <c r="D80" s="141"/>
      <c r="E80" s="142"/>
      <c r="F80" s="137"/>
      <c r="G80" s="138"/>
      <c r="H80" s="138"/>
      <c r="I80" s="138"/>
      <c r="J80" s="138"/>
      <c r="K80" s="138"/>
      <c r="L80" s="139"/>
      <c r="M80" s="139"/>
      <c r="N80" s="138"/>
      <c r="O80" s="138"/>
      <c r="P80" s="138"/>
      <c r="Q80" s="138"/>
      <c r="R80" s="139"/>
    </row>
    <row r="81" spans="1:18" s="17" customFormat="1" ht="39.75" customHeight="1" x14ac:dyDescent="0.25">
      <c r="A81" s="134"/>
      <c r="B81" s="135"/>
      <c r="C81" s="136"/>
      <c r="D81" s="141"/>
      <c r="E81" s="142"/>
      <c r="F81" s="137"/>
      <c r="G81" s="138"/>
      <c r="H81" s="138"/>
      <c r="I81" s="138"/>
      <c r="J81" s="138"/>
      <c r="K81" s="138"/>
      <c r="L81" s="139"/>
      <c r="M81" s="139"/>
      <c r="N81" s="138"/>
      <c r="O81" s="138"/>
      <c r="P81" s="138"/>
      <c r="Q81" s="140"/>
      <c r="R81" s="139"/>
    </row>
    <row r="82" spans="1:18" s="17" customFormat="1" ht="39.75" customHeight="1" x14ac:dyDescent="0.25">
      <c r="A82" s="134"/>
      <c r="B82" s="135"/>
      <c r="C82" s="136"/>
      <c r="D82" s="141"/>
      <c r="E82" s="142"/>
      <c r="F82" s="137"/>
      <c r="G82" s="138"/>
      <c r="H82" s="138"/>
      <c r="I82" s="138"/>
      <c r="J82" s="138"/>
      <c r="K82" s="138"/>
      <c r="L82" s="139"/>
      <c r="M82" s="139"/>
      <c r="N82" s="138"/>
      <c r="O82" s="138"/>
      <c r="P82" s="138"/>
      <c r="Q82" s="138"/>
      <c r="R82" s="139"/>
    </row>
    <row r="83" spans="1:18" s="17" customFormat="1" ht="39.75" customHeight="1" x14ac:dyDescent="0.25">
      <c r="A83" s="134"/>
      <c r="B83" s="135"/>
      <c r="C83" s="136"/>
      <c r="D83" s="141"/>
      <c r="E83" s="142"/>
      <c r="F83" s="137"/>
      <c r="G83" s="138"/>
      <c r="H83" s="138"/>
      <c r="I83" s="138"/>
      <c r="J83" s="138"/>
      <c r="K83" s="138"/>
      <c r="L83" s="139"/>
      <c r="M83" s="139"/>
      <c r="N83" s="138"/>
      <c r="O83" s="138"/>
      <c r="P83" s="138"/>
      <c r="Q83" s="140"/>
      <c r="R83" s="139"/>
    </row>
    <row r="84" spans="1:18" s="17" customFormat="1" ht="39.75" customHeight="1" x14ac:dyDescent="0.25">
      <c r="A84" s="134"/>
      <c r="B84" s="135"/>
      <c r="C84" s="136"/>
      <c r="D84" s="141"/>
      <c r="E84" s="142"/>
      <c r="F84" s="137"/>
      <c r="G84" s="138"/>
      <c r="H84" s="138"/>
      <c r="I84" s="138"/>
      <c r="J84" s="138"/>
      <c r="K84" s="138"/>
      <c r="L84" s="139"/>
      <c r="M84" s="139"/>
      <c r="N84" s="138"/>
      <c r="O84" s="138"/>
      <c r="P84" s="138"/>
      <c r="Q84" s="140"/>
      <c r="R84" s="139"/>
    </row>
    <row r="85" spans="1:18" s="17" customFormat="1" ht="39.75" customHeight="1" x14ac:dyDescent="0.25">
      <c r="A85" s="134"/>
      <c r="B85" s="135"/>
      <c r="C85" s="136"/>
      <c r="D85" s="141"/>
      <c r="E85" s="142"/>
      <c r="F85" s="137"/>
      <c r="G85" s="138"/>
      <c r="H85" s="138"/>
      <c r="I85" s="138"/>
      <c r="J85" s="138"/>
      <c r="K85" s="138"/>
      <c r="L85" s="139"/>
      <c r="M85" s="139"/>
      <c r="N85" s="138"/>
      <c r="O85" s="138"/>
      <c r="P85" s="138"/>
      <c r="Q85" s="140"/>
      <c r="R85" s="139"/>
    </row>
    <row r="86" spans="1:18" s="17" customFormat="1" ht="39.75" customHeight="1" x14ac:dyDescent="0.25">
      <c r="A86" s="134"/>
      <c r="B86" s="135"/>
      <c r="C86" s="136"/>
      <c r="D86" s="141"/>
      <c r="E86" s="142"/>
      <c r="F86" s="137"/>
      <c r="G86" s="138"/>
      <c r="H86" s="138"/>
      <c r="I86" s="138"/>
      <c r="J86" s="138"/>
      <c r="K86" s="138"/>
      <c r="L86" s="139"/>
      <c r="M86" s="139"/>
      <c r="N86" s="138"/>
      <c r="O86" s="138"/>
      <c r="P86" s="138"/>
      <c r="Q86" s="138"/>
      <c r="R86" s="139"/>
    </row>
    <row r="87" spans="1:18" s="17" customFormat="1" ht="39.75" customHeight="1" x14ac:dyDescent="0.25">
      <c r="A87" s="134"/>
      <c r="B87" s="135"/>
      <c r="C87" s="136"/>
      <c r="D87" s="141"/>
      <c r="E87" s="142"/>
      <c r="F87" s="137"/>
      <c r="G87" s="138"/>
      <c r="H87" s="138"/>
      <c r="I87" s="138"/>
      <c r="J87" s="138"/>
      <c r="K87" s="138"/>
      <c r="L87" s="139"/>
      <c r="M87" s="139"/>
      <c r="N87" s="138"/>
      <c r="O87" s="138"/>
      <c r="P87" s="138"/>
      <c r="Q87" s="138"/>
      <c r="R87" s="139"/>
    </row>
    <row r="88" spans="1:18" s="17" customFormat="1" ht="39.75" customHeight="1" x14ac:dyDescent="0.25">
      <c r="A88" s="134"/>
      <c r="B88" s="135"/>
      <c r="C88" s="136"/>
      <c r="D88" s="141"/>
      <c r="E88" s="142"/>
      <c r="F88" s="137"/>
      <c r="G88" s="138"/>
      <c r="H88" s="138"/>
      <c r="I88" s="138"/>
      <c r="J88" s="138"/>
      <c r="K88" s="138"/>
      <c r="L88" s="139"/>
      <c r="M88" s="139"/>
      <c r="N88" s="138"/>
      <c r="O88" s="138"/>
      <c r="P88" s="138"/>
      <c r="Q88" s="140"/>
      <c r="R88" s="139"/>
    </row>
    <row r="89" spans="1:18" s="17" customFormat="1" ht="39.75" customHeight="1" x14ac:dyDescent="0.25">
      <c r="A89" s="134"/>
      <c r="B89" s="135"/>
      <c r="C89" s="136"/>
      <c r="D89" s="141"/>
      <c r="E89" s="142"/>
      <c r="F89" s="137"/>
      <c r="G89" s="138"/>
      <c r="H89" s="138"/>
      <c r="I89" s="138"/>
      <c r="J89" s="138"/>
      <c r="K89" s="138"/>
      <c r="L89" s="139"/>
      <c r="M89" s="139"/>
      <c r="N89" s="138"/>
      <c r="O89" s="138"/>
      <c r="P89" s="138"/>
      <c r="Q89" s="140"/>
      <c r="R89" s="139"/>
    </row>
    <row r="90" spans="1:18" s="17" customFormat="1" ht="39.75" customHeight="1" x14ac:dyDescent="0.25">
      <c r="A90" s="134"/>
      <c r="B90" s="135"/>
      <c r="C90" s="136"/>
      <c r="D90" s="141"/>
      <c r="E90" s="142"/>
      <c r="F90" s="137"/>
      <c r="G90" s="138"/>
      <c r="H90" s="138"/>
      <c r="I90" s="138"/>
      <c r="J90" s="138"/>
      <c r="K90" s="138"/>
      <c r="L90" s="139"/>
      <c r="M90" s="139"/>
      <c r="N90" s="138"/>
      <c r="O90" s="138"/>
      <c r="P90" s="138"/>
      <c r="Q90" s="140"/>
      <c r="R90" s="139"/>
    </row>
    <row r="91" spans="1:18" s="17" customFormat="1" ht="39.75" customHeight="1" x14ac:dyDescent="0.25">
      <c r="A91" s="134"/>
      <c r="B91" s="135"/>
      <c r="C91" s="136"/>
      <c r="D91" s="141"/>
      <c r="E91" s="142"/>
      <c r="F91" s="137"/>
      <c r="G91" s="138"/>
      <c r="H91" s="138"/>
      <c r="I91" s="138"/>
      <c r="J91" s="138"/>
      <c r="K91" s="138"/>
      <c r="L91" s="139"/>
      <c r="M91" s="139"/>
      <c r="N91" s="138"/>
      <c r="O91" s="138"/>
      <c r="P91" s="138"/>
      <c r="Q91" s="140"/>
      <c r="R91" s="139"/>
    </row>
    <row r="92" spans="1:18" s="17" customFormat="1" ht="39.75" customHeight="1" x14ac:dyDescent="0.25">
      <c r="A92" s="134"/>
      <c r="B92" s="135"/>
      <c r="C92" s="136"/>
      <c r="D92" s="141"/>
      <c r="E92" s="142"/>
      <c r="F92" s="137"/>
      <c r="G92" s="138"/>
      <c r="H92" s="138"/>
      <c r="I92" s="138"/>
      <c r="J92" s="138"/>
      <c r="K92" s="138"/>
      <c r="L92" s="139"/>
      <c r="M92" s="139"/>
      <c r="N92" s="138"/>
      <c r="O92" s="138"/>
      <c r="P92" s="138"/>
      <c r="Q92" s="140"/>
      <c r="R92" s="139"/>
    </row>
    <row r="93" spans="1:18" s="17" customFormat="1" ht="39.75" customHeight="1" x14ac:dyDescent="0.25">
      <c r="A93" s="134"/>
      <c r="B93" s="135"/>
      <c r="C93" s="136"/>
      <c r="D93" s="141"/>
      <c r="E93" s="142"/>
      <c r="F93" s="137"/>
      <c r="G93" s="138"/>
      <c r="H93" s="138"/>
      <c r="I93" s="138"/>
      <c r="J93" s="138"/>
      <c r="K93" s="138"/>
      <c r="L93" s="139"/>
      <c r="M93" s="139"/>
      <c r="N93" s="138"/>
      <c r="O93" s="138"/>
      <c r="P93" s="138"/>
      <c r="Q93" s="140"/>
      <c r="R93" s="139"/>
    </row>
    <row r="94" spans="1:18" s="17" customFormat="1" ht="39.75" customHeight="1" x14ac:dyDescent="0.25">
      <c r="A94" s="134"/>
      <c r="B94" s="135"/>
      <c r="C94" s="136"/>
      <c r="D94" s="141"/>
      <c r="E94" s="142"/>
      <c r="F94" s="137"/>
      <c r="G94" s="138"/>
      <c r="H94" s="138"/>
      <c r="I94" s="138"/>
      <c r="J94" s="138"/>
      <c r="K94" s="138"/>
      <c r="L94" s="139"/>
      <c r="M94" s="139"/>
      <c r="N94" s="138"/>
      <c r="O94" s="138"/>
      <c r="P94" s="138"/>
      <c r="Q94" s="140"/>
      <c r="R94" s="139"/>
    </row>
    <row r="95" spans="1:18" s="17" customFormat="1" ht="39.75" customHeight="1" x14ac:dyDescent="0.25">
      <c r="A95" s="134"/>
      <c r="B95" s="135"/>
      <c r="C95" s="136"/>
      <c r="D95" s="141"/>
      <c r="E95" s="142"/>
      <c r="F95" s="137"/>
      <c r="G95" s="138"/>
      <c r="H95" s="138"/>
      <c r="I95" s="138"/>
      <c r="J95" s="138"/>
      <c r="K95" s="138"/>
      <c r="L95" s="139"/>
      <c r="M95" s="139"/>
      <c r="N95" s="138"/>
      <c r="O95" s="138"/>
      <c r="P95" s="138"/>
      <c r="Q95" s="140"/>
      <c r="R95" s="139"/>
    </row>
    <row r="96" spans="1:18" s="17" customFormat="1" ht="39.75" customHeight="1" x14ac:dyDescent="0.25">
      <c r="A96" s="134"/>
      <c r="B96" s="135"/>
      <c r="C96" s="136"/>
      <c r="D96" s="141"/>
      <c r="E96" s="142"/>
      <c r="F96" s="137"/>
      <c r="G96" s="138"/>
      <c r="H96" s="138"/>
      <c r="I96" s="138"/>
      <c r="J96" s="138"/>
      <c r="K96" s="138"/>
      <c r="L96" s="139"/>
      <c r="M96" s="139"/>
      <c r="N96" s="138"/>
      <c r="O96" s="138"/>
      <c r="P96" s="138"/>
      <c r="Q96" s="140"/>
      <c r="R96" s="139"/>
    </row>
    <row r="97" spans="1:18" s="17" customFormat="1" ht="39.75" customHeight="1" x14ac:dyDescent="0.25">
      <c r="A97" s="134"/>
      <c r="B97" s="135"/>
      <c r="C97" s="136"/>
      <c r="D97" s="141"/>
      <c r="E97" s="142"/>
      <c r="F97" s="137"/>
      <c r="G97" s="138"/>
      <c r="H97" s="138"/>
      <c r="I97" s="138"/>
      <c r="J97" s="138"/>
      <c r="K97" s="138"/>
      <c r="L97" s="139"/>
      <c r="M97" s="139"/>
      <c r="N97" s="138"/>
      <c r="O97" s="138"/>
      <c r="P97" s="138"/>
      <c r="Q97" s="140"/>
      <c r="R97" s="139"/>
    </row>
    <row r="98" spans="1:18" s="17" customFormat="1" ht="39.75" customHeight="1" x14ac:dyDescent="0.25">
      <c r="A98" s="134"/>
      <c r="B98" s="135"/>
      <c r="C98" s="136"/>
      <c r="D98" s="141"/>
      <c r="E98" s="142"/>
      <c r="F98" s="137"/>
      <c r="G98" s="138"/>
      <c r="H98" s="138"/>
      <c r="I98" s="138"/>
      <c r="J98" s="138"/>
      <c r="K98" s="138"/>
      <c r="L98" s="139"/>
      <c r="M98" s="139"/>
      <c r="N98" s="138"/>
      <c r="O98" s="138"/>
      <c r="P98" s="138"/>
      <c r="Q98" s="140"/>
      <c r="R98" s="139"/>
    </row>
    <row r="99" spans="1:18" s="17" customFormat="1" ht="39.75" customHeight="1" x14ac:dyDescent="0.25">
      <c r="A99" s="134"/>
      <c r="B99" s="135"/>
      <c r="C99" s="136"/>
      <c r="D99" s="141"/>
      <c r="E99" s="142"/>
      <c r="F99" s="137"/>
      <c r="G99" s="138"/>
      <c r="H99" s="138"/>
      <c r="I99" s="138"/>
      <c r="J99" s="138"/>
      <c r="K99" s="138"/>
      <c r="L99" s="139"/>
      <c r="M99" s="139"/>
      <c r="N99" s="138"/>
      <c r="O99" s="138"/>
      <c r="P99" s="138"/>
      <c r="Q99" s="140"/>
      <c r="R99" s="139"/>
    </row>
    <row r="100" spans="1:18" s="17" customFormat="1" ht="39.75" customHeight="1" x14ac:dyDescent="0.25">
      <c r="A100" s="134"/>
      <c r="B100" s="135"/>
      <c r="C100" s="136"/>
      <c r="D100" s="141"/>
      <c r="E100" s="142"/>
      <c r="F100" s="137"/>
      <c r="G100" s="138"/>
      <c r="H100" s="138"/>
      <c r="I100" s="138"/>
      <c r="J100" s="138"/>
      <c r="K100" s="138"/>
      <c r="L100" s="139"/>
      <c r="M100" s="139"/>
      <c r="N100" s="138"/>
      <c r="O100" s="138"/>
      <c r="P100" s="138"/>
      <c r="Q100" s="140"/>
      <c r="R100" s="139"/>
    </row>
    <row r="101" spans="1:18" s="17" customFormat="1" ht="39.75" customHeight="1" x14ac:dyDescent="0.25">
      <c r="A101" s="134"/>
      <c r="B101" s="135"/>
      <c r="C101" s="136"/>
      <c r="D101" s="141"/>
      <c r="E101" s="142"/>
      <c r="F101" s="137"/>
      <c r="G101" s="138"/>
      <c r="H101" s="138"/>
      <c r="I101" s="138"/>
      <c r="J101" s="138"/>
      <c r="K101" s="138"/>
      <c r="L101" s="139"/>
      <c r="M101" s="139"/>
      <c r="N101" s="138"/>
      <c r="O101" s="138"/>
      <c r="P101" s="138"/>
      <c r="Q101" s="140"/>
      <c r="R101" s="139"/>
    </row>
    <row r="102" spans="1:18" s="17" customFormat="1" ht="47.25" customHeight="1" x14ac:dyDescent="0.25">
      <c r="A102" s="134"/>
      <c r="B102" s="135"/>
      <c r="C102" s="136"/>
      <c r="D102" s="141"/>
      <c r="E102" s="142"/>
      <c r="F102" s="137"/>
      <c r="G102" s="138"/>
      <c r="H102" s="138"/>
      <c r="I102" s="138"/>
      <c r="J102" s="138"/>
      <c r="K102" s="138"/>
      <c r="L102" s="139"/>
      <c r="M102" s="139"/>
      <c r="N102" s="138"/>
      <c r="O102" s="138"/>
      <c r="P102" s="138"/>
      <c r="Q102" s="140"/>
      <c r="R102" s="139"/>
    </row>
    <row r="103" spans="1:18" ht="34.5" customHeight="1" x14ac:dyDescent="0.2">
      <c r="A103" s="147" t="s">
        <v>313</v>
      </c>
      <c r="B103" s="148"/>
      <c r="C103" s="148"/>
      <c r="D103" s="148"/>
      <c r="E103" s="148"/>
      <c r="F103" s="148"/>
      <c r="G103" s="148"/>
      <c r="H103" s="148"/>
      <c r="I103" s="148"/>
      <c r="J103" s="148"/>
      <c r="K103" s="148"/>
      <c r="L103" s="148"/>
      <c r="M103" s="148"/>
      <c r="N103" s="148"/>
      <c r="O103" s="148"/>
      <c r="P103" s="149"/>
      <c r="Q103" s="93">
        <f>SUM(Q67:Q102)</f>
        <v>0</v>
      </c>
      <c r="R103" s="14"/>
    </row>
    <row r="104" spans="1:18" ht="47.25" customHeight="1" x14ac:dyDescent="0.2"/>
    <row r="105" spans="1:18" ht="32.25" customHeight="1" x14ac:dyDescent="0.2"/>
    <row r="106" spans="1:18" ht="26.25" x14ac:dyDescent="0.4">
      <c r="A106" s="150" t="s">
        <v>314</v>
      </c>
      <c r="B106" s="150"/>
      <c r="C106" s="150"/>
      <c r="D106" s="68"/>
      <c r="E106" s="25"/>
      <c r="F106" s="25"/>
      <c r="G106" s="26"/>
      <c r="H106" s="25"/>
      <c r="I106" s="25" t="s">
        <v>315</v>
      </c>
      <c r="J106" s="25" t="s">
        <v>316</v>
      </c>
      <c r="K106" s="25"/>
      <c r="L106" s="27"/>
      <c r="M106" s="151" t="s">
        <v>317</v>
      </c>
      <c r="N106" s="151"/>
      <c r="O106" s="151"/>
      <c r="P106" s="151"/>
      <c r="Q106" s="151"/>
      <c r="R106" s="28"/>
    </row>
  </sheetData>
  <autoFilter ref="A4:R52" xr:uid="{00000000-0009-0000-0000-00000C000000}">
    <sortState xmlns:xlrd2="http://schemas.microsoft.com/office/spreadsheetml/2017/richdata2" ref="A5:R52">
      <sortCondition ref="A4:A38"/>
    </sortState>
  </autoFilter>
  <sortState xmlns:xlrd2="http://schemas.microsoft.com/office/spreadsheetml/2017/richdata2" ref="A6:R10">
    <sortCondition ref="A5:A10"/>
  </sortState>
  <mergeCells count="6">
    <mergeCell ref="A103:P103"/>
    <mergeCell ref="A106:C106"/>
    <mergeCell ref="M106:Q106"/>
    <mergeCell ref="A1:Q1"/>
    <mergeCell ref="A2:Q2"/>
    <mergeCell ref="A3:Q3"/>
  </mergeCells>
  <printOptions horizontalCentered="1"/>
  <pageMargins left="0.19685039370078741" right="0.19685039370078741" top="0.39370078740157483" bottom="0.39370078740157483" header="0" footer="0"/>
  <pageSetup paperSize="8" scale="62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172"/>
  <sheetViews>
    <sheetView view="pageBreakPreview" zoomScale="85" zoomScaleNormal="85" zoomScaleSheetLayoutView="85" workbookViewId="0">
      <selection activeCell="A5" sqref="A5:G7"/>
    </sheetView>
  </sheetViews>
  <sheetFormatPr defaultRowHeight="15" x14ac:dyDescent="0.25"/>
  <cols>
    <col min="1" max="1" width="8.7109375" style="92" bestFit="1" customWidth="1"/>
    <col min="2" max="2" width="47.42578125" style="92" customWidth="1"/>
    <col min="3" max="3" width="16.5703125" style="92" customWidth="1"/>
    <col min="4" max="4" width="36.7109375" style="92" customWidth="1"/>
    <col min="5" max="5" width="42.42578125" style="92" customWidth="1"/>
    <col min="6" max="6" width="30.5703125" style="92" customWidth="1"/>
    <col min="7" max="7" width="32" style="92" customWidth="1"/>
    <col min="8" max="16384" width="9.140625" style="92"/>
  </cols>
  <sheetData>
    <row r="1" spans="1:7" s="94" customFormat="1" ht="76.5" customHeight="1" x14ac:dyDescent="0.2">
      <c r="A1" s="152" t="s">
        <v>301</v>
      </c>
      <c r="B1" s="152"/>
      <c r="C1" s="152"/>
      <c r="D1" s="152"/>
      <c r="E1" s="152"/>
      <c r="F1" s="152"/>
      <c r="G1" s="152"/>
    </row>
    <row r="2" spans="1:7" s="94" customFormat="1" ht="29.25" customHeight="1" x14ac:dyDescent="0.2">
      <c r="A2" s="153" t="s">
        <v>374</v>
      </c>
      <c r="B2" s="153"/>
      <c r="C2" s="153"/>
      <c r="D2" s="153"/>
      <c r="E2" s="153"/>
      <c r="F2" s="153"/>
      <c r="G2" s="153"/>
    </row>
    <row r="3" spans="1:7" s="94" customFormat="1" ht="21" customHeight="1" x14ac:dyDescent="0.2">
      <c r="A3" s="152" t="s">
        <v>376</v>
      </c>
      <c r="B3" s="152"/>
      <c r="C3" s="152"/>
      <c r="D3" s="152"/>
      <c r="E3" s="152"/>
      <c r="F3" s="152"/>
      <c r="G3" s="152"/>
    </row>
    <row r="4" spans="1:7" s="98" customFormat="1" ht="33.75" customHeight="1" x14ac:dyDescent="0.25">
      <c r="A4" s="97" t="s">
        <v>302</v>
      </c>
      <c r="B4" s="97" t="s">
        <v>392</v>
      </c>
      <c r="C4" s="97" t="s">
        <v>393</v>
      </c>
      <c r="D4" s="97" t="s">
        <v>309</v>
      </c>
      <c r="E4" s="97" t="s">
        <v>394</v>
      </c>
      <c r="F4" s="97" t="s">
        <v>310</v>
      </c>
      <c r="G4" s="97" t="s">
        <v>395</v>
      </c>
    </row>
    <row r="5" spans="1:7" ht="39.75" customHeight="1" x14ac:dyDescent="0.25">
      <c r="A5" s="99">
        <v>1</v>
      </c>
      <c r="B5" s="100" t="str">
        <f>_xlfn.CONCAT(VLOOKUP(A5,Abstract1!A$4:R$102,4,FALSE),"",VLOOKUP(A5,Abstract1!A$4:R$102,5,FALSE))</f>
        <v>Mrs.RANJANI U</v>
      </c>
      <c r="C5" s="96">
        <f>VLOOKUP(A5,Abstract1!A$4:R$102,17,FALSE)</f>
        <v>840</v>
      </c>
      <c r="D5" s="109" t="str">
        <f>VLOOKUP(A5,Abstract1!A$4:R$102,12,FALSE)</f>
        <v>PUNJAB NATIONAL BANK</v>
      </c>
      <c r="E5" s="109" t="str">
        <f>VLOOKUP(A5,Abstract1!A$4:R$102,18,FALSE)</f>
        <v>SIRUGANUR</v>
      </c>
      <c r="F5" s="110" t="str">
        <f>VLOOKUP(A5,Abstract1!A$4:R$102,13,FALSE)</f>
        <v>PUNB0665800</v>
      </c>
      <c r="G5" s="110" t="str">
        <f>VLOOKUP(A5,Abstract1!A$4:R$102,11,FALSE)</f>
        <v>6658000400036837</v>
      </c>
    </row>
    <row r="6" spans="1:7" ht="39.75" customHeight="1" x14ac:dyDescent="0.25">
      <c r="A6" s="99">
        <v>2</v>
      </c>
      <c r="B6" s="100" t="str">
        <f>_xlfn.CONCAT(VLOOKUP(A6,Abstract1!A$4:R$102,4,FALSE),"",VLOOKUP(A6,Abstract1!A$4:R$102,5,FALSE))</f>
        <v>Mr.KASTHURI RENGAN P</v>
      </c>
      <c r="C6" s="96">
        <f>VLOOKUP(A6,Abstract1!A$4:R$102,17,FALSE)</f>
        <v>440</v>
      </c>
      <c r="D6" s="109" t="str">
        <f>VLOOKUP(A6,Abstract1!A$4:R$102,12,FALSE)</f>
        <v>AXIS BANK</v>
      </c>
      <c r="E6" s="109" t="str">
        <f>VLOOKUP(A6,Abstract1!A$4:R$102,18,FALSE)</f>
        <v>KOTTUR</v>
      </c>
      <c r="F6" s="110" t="str">
        <f>VLOOKUP(A6,Abstract1!A$4:R$102,13,FALSE)</f>
        <v>UTIB0001746</v>
      </c>
      <c r="G6" s="110" t="str">
        <f>VLOOKUP(A6,Abstract1!A$4:R$102,11,FALSE)</f>
        <v>913010015846824</v>
      </c>
    </row>
    <row r="7" spans="1:7" ht="39.75" customHeight="1" x14ac:dyDescent="0.25">
      <c r="A7" s="99">
        <v>3</v>
      </c>
      <c r="B7" s="100" t="str">
        <f>_xlfn.CONCAT(VLOOKUP(A7,Abstract1!A$4:R$102,4,FALSE),"",VLOOKUP(A7,Abstract1!A$4:R$102,5,FALSE))</f>
        <v>Mrs.SURYA G</v>
      </c>
      <c r="C7" s="96">
        <f>VLOOKUP(A7,Abstract1!A$4:R$102,17,FALSE)</f>
        <v>230</v>
      </c>
      <c r="D7" s="109" t="str">
        <f>VLOOKUP(A7,Abstract1!A$4:R$102,12,FALSE)</f>
        <v>ICICI BANK</v>
      </c>
      <c r="E7" s="109" t="str">
        <f>VLOOKUP(A7,Abstract1!A$4:R$102,18,FALSE)</f>
        <v>JAWAHAR STREET NACHANDUPATTI</v>
      </c>
      <c r="F7" s="110" t="str">
        <f>VLOOKUP(A7,Abstract1!A$4:R$102,13,FALSE)</f>
        <v>ICIC0006093</v>
      </c>
      <c r="G7" s="110" t="str">
        <f>VLOOKUP(A7,Abstract1!A$4:R$102,11,FALSE)</f>
        <v>609301501667</v>
      </c>
    </row>
    <row r="8" spans="1:7" ht="39.75" customHeight="1" x14ac:dyDescent="0.25">
      <c r="A8" s="99">
        <v>4</v>
      </c>
      <c r="B8" s="100" t="e">
        <f>_xlfn.CONCAT(VLOOKUP(A8,Abstract1!A$4:R$102,4,FALSE),"",VLOOKUP(A8,Abstract1!A$4:R$102,5,FALSE))</f>
        <v>#N/A</v>
      </c>
      <c r="C8" s="96" t="e">
        <f>VLOOKUP(A8,Abstract1!A$4:R$102,17,FALSE)</f>
        <v>#N/A</v>
      </c>
      <c r="D8" s="109" t="e">
        <f>VLOOKUP(A8,Abstract1!A$4:R$102,12,FALSE)</f>
        <v>#N/A</v>
      </c>
      <c r="E8" s="109" t="e">
        <f>VLOOKUP(A8,Abstract1!A$4:R$102,18,FALSE)</f>
        <v>#N/A</v>
      </c>
      <c r="F8" s="110" t="e">
        <f>VLOOKUP(A8,Abstract1!A$4:R$102,13,FALSE)</f>
        <v>#N/A</v>
      </c>
      <c r="G8" s="110" t="e">
        <f>VLOOKUP(A8,Abstract1!A$4:R$102,11,FALSE)</f>
        <v>#N/A</v>
      </c>
    </row>
    <row r="9" spans="1:7" ht="39.75" customHeight="1" x14ac:dyDescent="0.25">
      <c r="A9" s="99">
        <v>5</v>
      </c>
      <c r="B9" s="100" t="e">
        <f>_xlfn.CONCAT(VLOOKUP(A9,Abstract1!A$4:R$102,4,FALSE),"",VLOOKUP(A9,Abstract1!A$4:R$102,5,FALSE))</f>
        <v>#N/A</v>
      </c>
      <c r="C9" s="96" t="e">
        <f>VLOOKUP(A9,Abstract1!A$4:R$102,17,FALSE)</f>
        <v>#N/A</v>
      </c>
      <c r="D9" s="109" t="e">
        <f>VLOOKUP(A9,Abstract1!A$4:R$102,12,FALSE)</f>
        <v>#N/A</v>
      </c>
      <c r="E9" s="109" t="e">
        <f>VLOOKUP(A9,Abstract1!A$4:R$102,18,FALSE)</f>
        <v>#N/A</v>
      </c>
      <c r="F9" s="110" t="e">
        <f>VLOOKUP(A9,Abstract1!A$4:R$102,13,FALSE)</f>
        <v>#N/A</v>
      </c>
      <c r="G9" s="110" t="e">
        <f>VLOOKUP(A9,Abstract1!A$4:R$102,11,FALSE)</f>
        <v>#N/A</v>
      </c>
    </row>
    <row r="10" spans="1:7" ht="39.75" customHeight="1" x14ac:dyDescent="0.25">
      <c r="A10" s="99">
        <v>6</v>
      </c>
      <c r="B10" s="100" t="e">
        <f>_xlfn.CONCAT(VLOOKUP(A10,Abstract1!A$4:R$102,4,FALSE),"",VLOOKUP(A10,Abstract1!A$4:R$102,5,FALSE))</f>
        <v>#N/A</v>
      </c>
      <c r="C10" s="96" t="e">
        <f>VLOOKUP(A10,Abstract1!A$4:R$102,17,FALSE)</f>
        <v>#N/A</v>
      </c>
      <c r="D10" s="109" t="e">
        <f>VLOOKUP(A10,Abstract1!A$4:R$102,12,FALSE)</f>
        <v>#N/A</v>
      </c>
      <c r="E10" s="109" t="e">
        <f>VLOOKUP(A10,Abstract1!A$4:R$102,18,FALSE)</f>
        <v>#N/A</v>
      </c>
      <c r="F10" s="110" t="e">
        <f>VLOOKUP(A10,Abstract1!A$4:R$102,13,FALSE)</f>
        <v>#N/A</v>
      </c>
      <c r="G10" s="110" t="e">
        <f>VLOOKUP(A10,Abstract1!A$4:R$102,11,FALSE)</f>
        <v>#N/A</v>
      </c>
    </row>
    <row r="11" spans="1:7" ht="39.75" customHeight="1" x14ac:dyDescent="0.25">
      <c r="A11" s="99">
        <v>7</v>
      </c>
      <c r="B11" s="100" t="e">
        <f>_xlfn.CONCAT(VLOOKUP(A11,Abstract1!A$4:R$102,4,FALSE),"",VLOOKUP(A11,Abstract1!A$4:R$102,5,FALSE))</f>
        <v>#N/A</v>
      </c>
      <c r="C11" s="96" t="e">
        <f>VLOOKUP(A11,Abstract1!A$4:R$102,17,FALSE)</f>
        <v>#N/A</v>
      </c>
      <c r="D11" s="109" t="e">
        <f>VLOOKUP(A11,Abstract1!A$4:R$102,12,FALSE)</f>
        <v>#N/A</v>
      </c>
      <c r="E11" s="109" t="e">
        <f>VLOOKUP(A11,Abstract1!A$4:R$102,18,FALSE)</f>
        <v>#N/A</v>
      </c>
      <c r="F11" s="110" t="e">
        <f>VLOOKUP(A11,Abstract1!A$4:R$102,13,FALSE)</f>
        <v>#N/A</v>
      </c>
      <c r="G11" s="110" t="e">
        <f>VLOOKUP(A11,Abstract1!A$4:R$102,11,FALSE)</f>
        <v>#N/A</v>
      </c>
    </row>
    <row r="12" spans="1:7" ht="39.75" customHeight="1" x14ac:dyDescent="0.25">
      <c r="A12" s="99">
        <v>8</v>
      </c>
      <c r="B12" s="100" t="e">
        <f>_xlfn.CONCAT(VLOOKUP(A12,Abstract1!A$4:R$102,4,FALSE),"",VLOOKUP(A12,Abstract1!A$4:R$102,5,FALSE))</f>
        <v>#N/A</v>
      </c>
      <c r="C12" s="96" t="e">
        <f>VLOOKUP(A12,Abstract1!A$4:R$102,17,FALSE)</f>
        <v>#N/A</v>
      </c>
      <c r="D12" s="109" t="e">
        <f>VLOOKUP(A12,Abstract1!A$4:R$102,12,FALSE)</f>
        <v>#N/A</v>
      </c>
      <c r="E12" s="109" t="e">
        <f>VLOOKUP(A12,Abstract1!A$4:R$102,18,FALSE)</f>
        <v>#N/A</v>
      </c>
      <c r="F12" s="110" t="e">
        <f>VLOOKUP(A12,Abstract1!A$4:R$102,13,FALSE)</f>
        <v>#N/A</v>
      </c>
      <c r="G12" s="110" t="e">
        <f>VLOOKUP(A12,Abstract1!A$4:R$102,11,FALSE)</f>
        <v>#N/A</v>
      </c>
    </row>
    <row r="13" spans="1:7" ht="39.75" customHeight="1" x14ac:dyDescent="0.25">
      <c r="A13" s="99">
        <v>9</v>
      </c>
      <c r="B13" s="100" t="e">
        <f>_xlfn.CONCAT(VLOOKUP(A13,Abstract1!A$4:R$102,4,FALSE),"",VLOOKUP(A13,Abstract1!A$4:R$102,5,FALSE))</f>
        <v>#N/A</v>
      </c>
      <c r="C13" s="96" t="e">
        <f>VLOOKUP(A13,Abstract1!A$4:R$102,17,FALSE)</f>
        <v>#N/A</v>
      </c>
      <c r="D13" s="109" t="e">
        <f>VLOOKUP(A13,Abstract1!A$4:R$102,12,FALSE)</f>
        <v>#N/A</v>
      </c>
      <c r="E13" s="109" t="e">
        <f>VLOOKUP(A13,Abstract1!A$4:R$102,18,FALSE)</f>
        <v>#N/A</v>
      </c>
      <c r="F13" s="110" t="e">
        <f>VLOOKUP(A13,Abstract1!A$4:R$102,13,FALSE)</f>
        <v>#N/A</v>
      </c>
      <c r="G13" s="110" t="e">
        <f>VLOOKUP(A13,Abstract1!A$4:R$102,11,FALSE)</f>
        <v>#N/A</v>
      </c>
    </row>
    <row r="14" spans="1:7" ht="39.75" customHeight="1" x14ac:dyDescent="0.25">
      <c r="A14" s="99">
        <v>10</v>
      </c>
      <c r="B14" s="100" t="e">
        <f>_xlfn.CONCAT(VLOOKUP(A14,Abstract1!A$4:R$102,4,FALSE),"",VLOOKUP(A14,Abstract1!A$4:R$102,5,FALSE))</f>
        <v>#N/A</v>
      </c>
      <c r="C14" s="96" t="e">
        <f>VLOOKUP(A14,Abstract1!A$4:R$102,17,FALSE)</f>
        <v>#N/A</v>
      </c>
      <c r="D14" s="109" t="e">
        <f>VLOOKUP(A14,Abstract1!A$4:R$102,12,FALSE)</f>
        <v>#N/A</v>
      </c>
      <c r="E14" s="109" t="e">
        <f>VLOOKUP(A14,Abstract1!A$4:R$102,18,FALSE)</f>
        <v>#N/A</v>
      </c>
      <c r="F14" s="110" t="e">
        <f>VLOOKUP(A14,Abstract1!A$4:R$102,13,FALSE)</f>
        <v>#N/A</v>
      </c>
      <c r="G14" s="110" t="e">
        <f>VLOOKUP(A14,Abstract1!A$4:R$102,11,FALSE)</f>
        <v>#N/A</v>
      </c>
    </row>
    <row r="15" spans="1:7" ht="39.75" customHeight="1" x14ac:dyDescent="0.25">
      <c r="A15" s="99">
        <v>11</v>
      </c>
      <c r="B15" s="100" t="e">
        <f>_xlfn.CONCAT(VLOOKUP(A15,Abstract1!A$4:R$102,4,FALSE),"",VLOOKUP(A15,Abstract1!A$4:R$102,5,FALSE))</f>
        <v>#N/A</v>
      </c>
      <c r="C15" s="96" t="e">
        <f>VLOOKUP(A15,Abstract1!A$4:R$102,17,FALSE)</f>
        <v>#N/A</v>
      </c>
      <c r="D15" s="109" t="e">
        <f>VLOOKUP(A15,Abstract1!A$4:R$102,12,FALSE)</f>
        <v>#N/A</v>
      </c>
      <c r="E15" s="109" t="e">
        <f>VLOOKUP(A15,Abstract1!A$4:R$102,18,FALSE)</f>
        <v>#N/A</v>
      </c>
      <c r="F15" s="110" t="e">
        <f>VLOOKUP(A15,Abstract1!A$4:R$102,13,FALSE)</f>
        <v>#N/A</v>
      </c>
      <c r="G15" s="110" t="e">
        <f>VLOOKUP(A15,Abstract1!A$4:R$102,11,FALSE)</f>
        <v>#N/A</v>
      </c>
    </row>
    <row r="16" spans="1:7" ht="39.75" customHeight="1" x14ac:dyDescent="0.25">
      <c r="A16" s="99">
        <v>12</v>
      </c>
      <c r="B16" s="100" t="e">
        <f>_xlfn.CONCAT(VLOOKUP(A16,Abstract1!A$4:R$102,4,FALSE),"",VLOOKUP(A16,Abstract1!A$4:R$102,5,FALSE))</f>
        <v>#N/A</v>
      </c>
      <c r="C16" s="96" t="e">
        <f>VLOOKUP(A16,Abstract1!A$4:R$102,17,FALSE)</f>
        <v>#N/A</v>
      </c>
      <c r="D16" s="109" t="e">
        <f>VLOOKUP(A16,Abstract1!A$4:R$102,12,FALSE)</f>
        <v>#N/A</v>
      </c>
      <c r="E16" s="109" t="e">
        <f>VLOOKUP(A16,Abstract1!A$4:R$102,18,FALSE)</f>
        <v>#N/A</v>
      </c>
      <c r="F16" s="110" t="e">
        <f>VLOOKUP(A16,Abstract1!A$4:R$102,13,FALSE)</f>
        <v>#N/A</v>
      </c>
      <c r="G16" s="110" t="e">
        <f>VLOOKUP(A16,Abstract1!A$4:R$102,11,FALSE)</f>
        <v>#N/A</v>
      </c>
    </row>
    <row r="17" spans="1:7" ht="39.75" customHeight="1" x14ac:dyDescent="0.25">
      <c r="A17" s="99">
        <v>13</v>
      </c>
      <c r="B17" s="100" t="e">
        <f>_xlfn.CONCAT(VLOOKUP(A17,Abstract1!A$4:R$102,4,FALSE),"",VLOOKUP(A17,Abstract1!A$4:R$102,5,FALSE))</f>
        <v>#N/A</v>
      </c>
      <c r="C17" s="96" t="e">
        <f>VLOOKUP(A17,Abstract1!A$4:R$102,17,FALSE)</f>
        <v>#N/A</v>
      </c>
      <c r="D17" s="109" t="e">
        <f>VLOOKUP(A17,Abstract1!A$4:R$102,12,FALSE)</f>
        <v>#N/A</v>
      </c>
      <c r="E17" s="109" t="e">
        <f>VLOOKUP(A17,Abstract1!A$4:R$102,18,FALSE)</f>
        <v>#N/A</v>
      </c>
      <c r="F17" s="110" t="e">
        <f>VLOOKUP(A17,Abstract1!A$4:R$102,13,FALSE)</f>
        <v>#N/A</v>
      </c>
      <c r="G17" s="110" t="e">
        <f>VLOOKUP(A17,Abstract1!A$4:R$102,11,FALSE)</f>
        <v>#N/A</v>
      </c>
    </row>
    <row r="18" spans="1:7" ht="39.75" customHeight="1" x14ac:dyDescent="0.25">
      <c r="A18" s="99">
        <v>14</v>
      </c>
      <c r="B18" s="100" t="e">
        <f>_xlfn.CONCAT(VLOOKUP(A18,Abstract1!A$4:R$102,4,FALSE),"",VLOOKUP(A18,Abstract1!A$4:R$102,5,FALSE))</f>
        <v>#N/A</v>
      </c>
      <c r="C18" s="96" t="e">
        <f>VLOOKUP(A18,Abstract1!A$4:R$102,17,FALSE)</f>
        <v>#N/A</v>
      </c>
      <c r="D18" s="109" t="e">
        <f>VLOOKUP(A18,Abstract1!A$4:R$102,12,FALSE)</f>
        <v>#N/A</v>
      </c>
      <c r="E18" s="109" t="e">
        <f>VLOOKUP(A18,Abstract1!A$4:R$102,18,FALSE)</f>
        <v>#N/A</v>
      </c>
      <c r="F18" s="110" t="e">
        <f>VLOOKUP(A18,Abstract1!A$4:R$102,13,FALSE)</f>
        <v>#N/A</v>
      </c>
      <c r="G18" s="110" t="e">
        <f>VLOOKUP(A18,Abstract1!A$4:R$102,11,FALSE)</f>
        <v>#N/A</v>
      </c>
    </row>
    <row r="19" spans="1:7" ht="39.75" customHeight="1" x14ac:dyDescent="0.25">
      <c r="A19" s="99">
        <v>15</v>
      </c>
      <c r="B19" s="100" t="e">
        <f>_xlfn.CONCAT(VLOOKUP(A19,Abstract1!A$4:R$102,4,FALSE),"",VLOOKUP(A19,Abstract1!A$4:R$102,5,FALSE))</f>
        <v>#N/A</v>
      </c>
      <c r="C19" s="96" t="e">
        <f>VLOOKUP(A19,Abstract1!A$4:R$102,17,FALSE)</f>
        <v>#N/A</v>
      </c>
      <c r="D19" s="109" t="e">
        <f>VLOOKUP(A19,Abstract1!A$4:R$102,12,FALSE)</f>
        <v>#N/A</v>
      </c>
      <c r="E19" s="109" t="e">
        <f>VLOOKUP(A19,Abstract1!A$4:R$102,18,FALSE)</f>
        <v>#N/A</v>
      </c>
      <c r="F19" s="110" t="e">
        <f>VLOOKUP(A19,Abstract1!A$4:R$102,13,FALSE)</f>
        <v>#N/A</v>
      </c>
      <c r="G19" s="110" t="e">
        <f>VLOOKUP(A19,Abstract1!A$4:R$102,11,FALSE)</f>
        <v>#N/A</v>
      </c>
    </row>
    <row r="20" spans="1:7" ht="39.75" customHeight="1" x14ac:dyDescent="0.25">
      <c r="A20" s="99">
        <v>16</v>
      </c>
      <c r="B20" s="100" t="e">
        <f>_xlfn.CONCAT(VLOOKUP(A20,Abstract1!A$4:R$102,4,FALSE),"",VLOOKUP(A20,Abstract1!A$4:R$102,5,FALSE))</f>
        <v>#N/A</v>
      </c>
      <c r="C20" s="96" t="e">
        <f>VLOOKUP(A20,Abstract1!A$4:R$102,17,FALSE)</f>
        <v>#N/A</v>
      </c>
      <c r="D20" s="109" t="e">
        <f>VLOOKUP(A20,Abstract1!A$4:R$102,12,FALSE)</f>
        <v>#N/A</v>
      </c>
      <c r="E20" s="109" t="e">
        <f>VLOOKUP(A20,Abstract1!A$4:R$102,18,FALSE)</f>
        <v>#N/A</v>
      </c>
      <c r="F20" s="110" t="e">
        <f>VLOOKUP(A20,Abstract1!A$4:R$102,13,FALSE)</f>
        <v>#N/A</v>
      </c>
      <c r="G20" s="110" t="e">
        <f>VLOOKUP(A20,Abstract1!A$4:R$102,11,FALSE)</f>
        <v>#N/A</v>
      </c>
    </row>
    <row r="21" spans="1:7" ht="39.75" customHeight="1" x14ac:dyDescent="0.25">
      <c r="A21" s="99">
        <v>17</v>
      </c>
      <c r="B21" s="100" t="e">
        <f>_xlfn.CONCAT(VLOOKUP(A21,Abstract1!A$4:R$102,4,FALSE),"",VLOOKUP(A21,Abstract1!A$4:R$102,5,FALSE))</f>
        <v>#N/A</v>
      </c>
      <c r="C21" s="96" t="e">
        <f>VLOOKUP(A21,Abstract1!A$4:R$102,17,FALSE)</f>
        <v>#N/A</v>
      </c>
      <c r="D21" s="109" t="e">
        <f>VLOOKUP(A21,Abstract1!A$4:R$102,12,FALSE)</f>
        <v>#N/A</v>
      </c>
      <c r="E21" s="109" t="e">
        <f>VLOOKUP(A21,Abstract1!A$4:R$102,18,FALSE)</f>
        <v>#N/A</v>
      </c>
      <c r="F21" s="110" t="e">
        <f>VLOOKUP(A21,Abstract1!A$4:R$102,13,FALSE)</f>
        <v>#N/A</v>
      </c>
      <c r="G21" s="110" t="e">
        <f>VLOOKUP(A21,Abstract1!A$4:R$102,11,FALSE)</f>
        <v>#N/A</v>
      </c>
    </row>
    <row r="22" spans="1:7" ht="39.75" customHeight="1" x14ac:dyDescent="0.25">
      <c r="A22" s="99">
        <v>18</v>
      </c>
      <c r="B22" s="100" t="e">
        <f>_xlfn.CONCAT(VLOOKUP(A22,Abstract1!A$4:R$102,4,FALSE),"",VLOOKUP(A22,Abstract1!A$4:R$102,5,FALSE))</f>
        <v>#N/A</v>
      </c>
      <c r="C22" s="96" t="e">
        <f>VLOOKUP(A22,Abstract1!A$4:R$102,17,FALSE)</f>
        <v>#N/A</v>
      </c>
      <c r="D22" s="109" t="e">
        <f>VLOOKUP(A22,Abstract1!A$4:R$102,12,FALSE)</f>
        <v>#N/A</v>
      </c>
      <c r="E22" s="109" t="e">
        <f>VLOOKUP(A22,Abstract1!A$4:R$102,18,FALSE)</f>
        <v>#N/A</v>
      </c>
      <c r="F22" s="110" t="e">
        <f>VLOOKUP(A22,Abstract1!A$4:R$102,13,FALSE)</f>
        <v>#N/A</v>
      </c>
      <c r="G22" s="110" t="e">
        <f>VLOOKUP(A22,Abstract1!A$4:R$102,11,FALSE)</f>
        <v>#N/A</v>
      </c>
    </row>
    <row r="23" spans="1:7" ht="39.75" customHeight="1" x14ac:dyDescent="0.25">
      <c r="A23" s="99">
        <v>19</v>
      </c>
      <c r="B23" s="100" t="e">
        <f>_xlfn.CONCAT(VLOOKUP(A23,Abstract1!A$4:R$102,4,FALSE),"",VLOOKUP(A23,Abstract1!A$4:R$102,5,FALSE))</f>
        <v>#N/A</v>
      </c>
      <c r="C23" s="96" t="e">
        <f>VLOOKUP(A23,Abstract1!A$4:R$102,17,FALSE)</f>
        <v>#N/A</v>
      </c>
      <c r="D23" s="109" t="e">
        <f>VLOOKUP(A23,Abstract1!A$4:R$102,12,FALSE)</f>
        <v>#N/A</v>
      </c>
      <c r="E23" s="109" t="e">
        <f>VLOOKUP(A23,Abstract1!A$4:R$102,18,FALSE)</f>
        <v>#N/A</v>
      </c>
      <c r="F23" s="110" t="e">
        <f>VLOOKUP(A23,Abstract1!A$4:R$102,13,FALSE)</f>
        <v>#N/A</v>
      </c>
      <c r="G23" s="110" t="e">
        <f>VLOOKUP(A23,Abstract1!A$4:R$102,11,FALSE)</f>
        <v>#N/A</v>
      </c>
    </row>
    <row r="24" spans="1:7" ht="39.75" customHeight="1" x14ac:dyDescent="0.25">
      <c r="A24" s="99">
        <v>20</v>
      </c>
      <c r="B24" s="100" t="e">
        <f>_xlfn.CONCAT(VLOOKUP(A24,Abstract1!A$4:R$102,4,FALSE),"",VLOOKUP(A24,Abstract1!A$4:R$102,5,FALSE))</f>
        <v>#N/A</v>
      </c>
      <c r="C24" s="96" t="e">
        <f>VLOOKUP(A24,Abstract1!A$4:R$102,17,FALSE)</f>
        <v>#N/A</v>
      </c>
      <c r="D24" s="109" t="e">
        <f>VLOOKUP(A24,Abstract1!A$4:R$102,12,FALSE)</f>
        <v>#N/A</v>
      </c>
      <c r="E24" s="109" t="e">
        <f>VLOOKUP(A24,Abstract1!A$4:R$102,18,FALSE)</f>
        <v>#N/A</v>
      </c>
      <c r="F24" s="110" t="e">
        <f>VLOOKUP(A24,Abstract1!A$4:R$102,13,FALSE)</f>
        <v>#N/A</v>
      </c>
      <c r="G24" s="110" t="e">
        <f>VLOOKUP(A24,Abstract1!A$4:R$102,11,FALSE)</f>
        <v>#N/A</v>
      </c>
    </row>
    <row r="25" spans="1:7" ht="39.75" customHeight="1" x14ac:dyDescent="0.25">
      <c r="A25" s="99">
        <v>21</v>
      </c>
      <c r="B25" s="100" t="e">
        <f>_xlfn.CONCAT(VLOOKUP(A25,Abstract1!A$4:R$102,4,FALSE),"",VLOOKUP(A25,Abstract1!A$4:R$102,5,FALSE))</f>
        <v>#N/A</v>
      </c>
      <c r="C25" s="96" t="e">
        <f>VLOOKUP(A25,Abstract1!A$4:R$102,17,FALSE)</f>
        <v>#N/A</v>
      </c>
      <c r="D25" s="109" t="e">
        <f>VLOOKUP(A25,Abstract1!A$4:R$102,12,FALSE)</f>
        <v>#N/A</v>
      </c>
      <c r="E25" s="109" t="e">
        <f>VLOOKUP(A25,Abstract1!A$4:R$102,18,FALSE)</f>
        <v>#N/A</v>
      </c>
      <c r="F25" s="110" t="e">
        <f>VLOOKUP(A25,Abstract1!A$4:R$102,13,FALSE)</f>
        <v>#N/A</v>
      </c>
      <c r="G25" s="110" t="e">
        <f>VLOOKUP(A25,Abstract1!A$4:R$102,11,FALSE)</f>
        <v>#N/A</v>
      </c>
    </row>
    <row r="26" spans="1:7" ht="39.75" customHeight="1" x14ac:dyDescent="0.25">
      <c r="A26" s="99">
        <v>22</v>
      </c>
      <c r="B26" s="100" t="e">
        <f>_xlfn.CONCAT(VLOOKUP(A26,Abstract1!A$4:R$102,4,FALSE),"",VLOOKUP(A26,Abstract1!A$4:R$102,5,FALSE))</f>
        <v>#N/A</v>
      </c>
      <c r="C26" s="96" t="e">
        <f>VLOOKUP(A26,Abstract1!A$4:R$102,17,FALSE)</f>
        <v>#N/A</v>
      </c>
      <c r="D26" s="109" t="e">
        <f>VLOOKUP(A26,Abstract1!A$4:R$102,12,FALSE)</f>
        <v>#N/A</v>
      </c>
      <c r="E26" s="109" t="e">
        <f>VLOOKUP(A26,Abstract1!A$4:R$102,18,FALSE)</f>
        <v>#N/A</v>
      </c>
      <c r="F26" s="110" t="e">
        <f>VLOOKUP(A26,Abstract1!A$4:R$102,13,FALSE)</f>
        <v>#N/A</v>
      </c>
      <c r="G26" s="110" t="e">
        <f>VLOOKUP(A26,Abstract1!A$4:R$102,11,FALSE)</f>
        <v>#N/A</v>
      </c>
    </row>
    <row r="27" spans="1:7" ht="39.75" customHeight="1" x14ac:dyDescent="0.25">
      <c r="A27" s="99">
        <v>23</v>
      </c>
      <c r="B27" s="100" t="e">
        <f>_xlfn.CONCAT(VLOOKUP(A27,Abstract1!A$4:R$102,4,FALSE),"",VLOOKUP(A27,Abstract1!A$4:R$102,5,FALSE))</f>
        <v>#N/A</v>
      </c>
      <c r="C27" s="96" t="e">
        <f>VLOOKUP(A27,Abstract1!A$4:R$102,17,FALSE)</f>
        <v>#N/A</v>
      </c>
      <c r="D27" s="109" t="e">
        <f>VLOOKUP(A27,Abstract1!A$4:R$102,12,FALSE)</f>
        <v>#N/A</v>
      </c>
      <c r="E27" s="109" t="e">
        <f>VLOOKUP(A27,Abstract1!A$4:R$102,18,FALSE)</f>
        <v>#N/A</v>
      </c>
      <c r="F27" s="110" t="e">
        <f>VLOOKUP(A27,Abstract1!A$4:R$102,13,FALSE)</f>
        <v>#N/A</v>
      </c>
      <c r="G27" s="110" t="e">
        <f>VLOOKUP(A27,Abstract1!A$4:R$102,11,FALSE)</f>
        <v>#N/A</v>
      </c>
    </row>
    <row r="28" spans="1:7" ht="39.75" customHeight="1" x14ac:dyDescent="0.25">
      <c r="A28" s="99">
        <v>24</v>
      </c>
      <c r="B28" s="100" t="e">
        <f>_xlfn.CONCAT(VLOOKUP(A28,Abstract1!A$4:R$102,4,FALSE),"",VLOOKUP(A28,Abstract1!A$4:R$102,5,FALSE))</f>
        <v>#N/A</v>
      </c>
      <c r="C28" s="96" t="e">
        <f>VLOOKUP(A28,Abstract1!A$4:R$102,17,FALSE)</f>
        <v>#N/A</v>
      </c>
      <c r="D28" s="109" t="e">
        <f>VLOOKUP(A28,Abstract1!A$4:R$102,12,FALSE)</f>
        <v>#N/A</v>
      </c>
      <c r="E28" s="109" t="e">
        <f>VLOOKUP(A28,Abstract1!A$4:R$102,18,FALSE)</f>
        <v>#N/A</v>
      </c>
      <c r="F28" s="110" t="e">
        <f>VLOOKUP(A28,Abstract1!A$4:R$102,13,FALSE)</f>
        <v>#N/A</v>
      </c>
      <c r="G28" s="110" t="e">
        <f>VLOOKUP(A28,Abstract1!A$4:R$102,11,FALSE)</f>
        <v>#N/A</v>
      </c>
    </row>
    <row r="29" spans="1:7" ht="39.75" customHeight="1" x14ac:dyDescent="0.25">
      <c r="A29" s="99">
        <v>25</v>
      </c>
      <c r="B29" s="100" t="e">
        <f>_xlfn.CONCAT(VLOOKUP(A29,Abstract1!A$4:R$102,4,FALSE),"",VLOOKUP(A29,Abstract1!A$4:R$102,5,FALSE))</f>
        <v>#N/A</v>
      </c>
      <c r="C29" s="96" t="e">
        <f>VLOOKUP(A29,Abstract1!A$4:R$102,17,FALSE)</f>
        <v>#N/A</v>
      </c>
      <c r="D29" s="109" t="e">
        <f>VLOOKUP(A29,Abstract1!A$4:R$102,12,FALSE)</f>
        <v>#N/A</v>
      </c>
      <c r="E29" s="109" t="e">
        <f>VLOOKUP(A29,Abstract1!A$4:R$102,18,FALSE)</f>
        <v>#N/A</v>
      </c>
      <c r="F29" s="110" t="e">
        <f>VLOOKUP(A29,Abstract1!A$4:R$102,13,FALSE)</f>
        <v>#N/A</v>
      </c>
      <c r="G29" s="110" t="e">
        <f>VLOOKUP(A29,Abstract1!A$4:R$102,11,FALSE)</f>
        <v>#N/A</v>
      </c>
    </row>
    <row r="30" spans="1:7" ht="39.75" customHeight="1" x14ac:dyDescent="0.25">
      <c r="A30" s="99">
        <v>26</v>
      </c>
      <c r="B30" s="100" t="e">
        <f>_xlfn.CONCAT(VLOOKUP(A30,Abstract1!A$4:R$102,4,FALSE),"",VLOOKUP(A30,Abstract1!A$4:R$102,5,FALSE))</f>
        <v>#N/A</v>
      </c>
      <c r="C30" s="96" t="e">
        <f>VLOOKUP(A30,Abstract1!A$4:R$102,17,FALSE)</f>
        <v>#N/A</v>
      </c>
      <c r="D30" s="109" t="e">
        <f>VLOOKUP(A30,Abstract1!A$4:R$102,12,FALSE)</f>
        <v>#N/A</v>
      </c>
      <c r="E30" s="109" t="e">
        <f>VLOOKUP(A30,Abstract1!A$4:R$102,18,FALSE)</f>
        <v>#N/A</v>
      </c>
      <c r="F30" s="110" t="e">
        <f>VLOOKUP(A30,Abstract1!A$4:R$102,13,FALSE)</f>
        <v>#N/A</v>
      </c>
      <c r="G30" s="110" t="e">
        <f>VLOOKUP(A30,Abstract1!A$4:R$102,11,FALSE)</f>
        <v>#N/A</v>
      </c>
    </row>
    <row r="31" spans="1:7" ht="39.75" customHeight="1" x14ac:dyDescent="0.25">
      <c r="A31" s="99">
        <v>27</v>
      </c>
      <c r="B31" s="100" t="e">
        <f>_xlfn.CONCAT(VLOOKUP(A31,Abstract1!A$4:R$102,4,FALSE),"",VLOOKUP(A31,Abstract1!A$4:R$102,5,FALSE))</f>
        <v>#N/A</v>
      </c>
      <c r="C31" s="96" t="e">
        <f>VLOOKUP(A31,Abstract1!A$4:R$102,17,FALSE)</f>
        <v>#N/A</v>
      </c>
      <c r="D31" s="109" t="e">
        <f>VLOOKUP(A31,Abstract1!A$4:R$102,12,FALSE)</f>
        <v>#N/A</v>
      </c>
      <c r="E31" s="109" t="e">
        <f>VLOOKUP(A31,Abstract1!A$4:R$102,18,FALSE)</f>
        <v>#N/A</v>
      </c>
      <c r="F31" s="110" t="e">
        <f>VLOOKUP(A31,Abstract1!A$4:R$102,13,FALSE)</f>
        <v>#N/A</v>
      </c>
      <c r="G31" s="110" t="e">
        <f>VLOOKUP(A31,Abstract1!A$4:R$102,11,FALSE)</f>
        <v>#N/A</v>
      </c>
    </row>
    <row r="32" spans="1:7" ht="39.75" customHeight="1" x14ac:dyDescent="0.25">
      <c r="A32" s="99">
        <v>28</v>
      </c>
      <c r="B32" s="100" t="e">
        <f>_xlfn.CONCAT(VLOOKUP(A32,Abstract1!A$4:R$102,4,FALSE),"",VLOOKUP(A32,Abstract1!A$4:R$102,5,FALSE))</f>
        <v>#N/A</v>
      </c>
      <c r="C32" s="96" t="e">
        <f>VLOOKUP(A32,Abstract1!A$4:R$102,17,FALSE)</f>
        <v>#N/A</v>
      </c>
      <c r="D32" s="109" t="e">
        <f>VLOOKUP(A32,Abstract1!A$4:R$102,12,FALSE)</f>
        <v>#N/A</v>
      </c>
      <c r="E32" s="109" t="e">
        <f>VLOOKUP(A32,Abstract1!A$4:R$102,18,FALSE)</f>
        <v>#N/A</v>
      </c>
      <c r="F32" s="110" t="e">
        <f>VLOOKUP(A32,Abstract1!A$4:R$102,13,FALSE)</f>
        <v>#N/A</v>
      </c>
      <c r="G32" s="110" t="e">
        <f>VLOOKUP(A32,Abstract1!A$4:R$102,11,FALSE)</f>
        <v>#N/A</v>
      </c>
    </row>
    <row r="33" spans="1:7" ht="39.75" customHeight="1" x14ac:dyDescent="0.25">
      <c r="A33" s="99">
        <v>29</v>
      </c>
      <c r="B33" s="100" t="e">
        <f>_xlfn.CONCAT(VLOOKUP(A33,Abstract1!A$4:R$102,4,FALSE),"",VLOOKUP(A33,Abstract1!A$4:R$102,5,FALSE))</f>
        <v>#N/A</v>
      </c>
      <c r="C33" s="96" t="e">
        <f>VLOOKUP(A33,Abstract1!A$4:R$102,17,FALSE)</f>
        <v>#N/A</v>
      </c>
      <c r="D33" s="109" t="e">
        <f>VLOOKUP(A33,Abstract1!A$4:R$102,12,FALSE)</f>
        <v>#N/A</v>
      </c>
      <c r="E33" s="109" t="e">
        <f>VLOOKUP(A33,Abstract1!A$4:R$102,18,FALSE)</f>
        <v>#N/A</v>
      </c>
      <c r="F33" s="110" t="e">
        <f>VLOOKUP(A33,Abstract1!A$4:R$102,13,FALSE)</f>
        <v>#N/A</v>
      </c>
      <c r="G33" s="110" t="e">
        <f>VLOOKUP(A33,Abstract1!A$4:R$102,11,FALSE)</f>
        <v>#N/A</v>
      </c>
    </row>
    <row r="34" spans="1:7" ht="39.75" customHeight="1" x14ac:dyDescent="0.25">
      <c r="A34" s="99">
        <v>30</v>
      </c>
      <c r="B34" s="100" t="e">
        <f>_xlfn.CONCAT(VLOOKUP(A34,Abstract1!A$4:R$102,4,FALSE),"",VLOOKUP(A34,Abstract1!A$4:R$102,5,FALSE))</f>
        <v>#N/A</v>
      </c>
      <c r="C34" s="96" t="e">
        <f>VLOOKUP(A34,Abstract1!A$4:R$102,17,FALSE)</f>
        <v>#N/A</v>
      </c>
      <c r="D34" s="109" t="e">
        <f>VLOOKUP(A34,Abstract1!A$4:R$102,12,FALSE)</f>
        <v>#N/A</v>
      </c>
      <c r="E34" s="109" t="e">
        <f>VLOOKUP(A34,Abstract1!A$4:R$102,18,FALSE)</f>
        <v>#N/A</v>
      </c>
      <c r="F34" s="110" t="e">
        <f>VLOOKUP(A34,Abstract1!A$4:R$102,13,FALSE)</f>
        <v>#N/A</v>
      </c>
      <c r="G34" s="110" t="e">
        <f>VLOOKUP(A34,Abstract1!A$4:R$102,11,FALSE)</f>
        <v>#N/A</v>
      </c>
    </row>
    <row r="35" spans="1:7" ht="39.75" customHeight="1" x14ac:dyDescent="0.25">
      <c r="A35" s="99">
        <v>31</v>
      </c>
      <c r="B35" s="100" t="e">
        <f>_xlfn.CONCAT(VLOOKUP(A35,Abstract1!A$4:R$102,4,FALSE),"",VLOOKUP(A35,Abstract1!A$4:R$102,5,FALSE))</f>
        <v>#N/A</v>
      </c>
      <c r="C35" s="96" t="e">
        <f>VLOOKUP(A35,Abstract1!A$4:R$102,17,FALSE)</f>
        <v>#N/A</v>
      </c>
      <c r="D35" s="109" t="e">
        <f>VLOOKUP(A35,Abstract1!A$4:R$102,12,FALSE)</f>
        <v>#N/A</v>
      </c>
      <c r="E35" s="109" t="e">
        <f>VLOOKUP(A35,Abstract1!A$4:R$102,18,FALSE)</f>
        <v>#N/A</v>
      </c>
      <c r="F35" s="110" t="e">
        <f>VLOOKUP(A35,Abstract1!A$4:R$102,13,FALSE)</f>
        <v>#N/A</v>
      </c>
      <c r="G35" s="110" t="e">
        <f>VLOOKUP(A35,Abstract1!A$4:R$102,11,FALSE)</f>
        <v>#N/A</v>
      </c>
    </row>
    <row r="36" spans="1:7" ht="39.75" customHeight="1" x14ac:dyDescent="0.25">
      <c r="A36" s="99">
        <v>32</v>
      </c>
      <c r="B36" s="100" t="e">
        <f>_xlfn.CONCAT(VLOOKUP(A36,Abstract1!A$4:R$102,4,FALSE),"",VLOOKUP(A36,Abstract1!A$4:R$102,5,FALSE))</f>
        <v>#N/A</v>
      </c>
      <c r="C36" s="96" t="e">
        <f>VLOOKUP(A36,Abstract1!A$4:R$102,17,FALSE)</f>
        <v>#N/A</v>
      </c>
      <c r="D36" s="109" t="e">
        <f>VLOOKUP(A36,Abstract1!A$4:R$102,12,FALSE)</f>
        <v>#N/A</v>
      </c>
      <c r="E36" s="109" t="e">
        <f>VLOOKUP(A36,Abstract1!A$4:R$102,18,FALSE)</f>
        <v>#N/A</v>
      </c>
      <c r="F36" s="110" t="e">
        <f>VLOOKUP(A36,Abstract1!A$4:R$102,13,FALSE)</f>
        <v>#N/A</v>
      </c>
      <c r="G36" s="110" t="e">
        <f>VLOOKUP(A36,Abstract1!A$4:R$102,11,FALSE)</f>
        <v>#N/A</v>
      </c>
    </row>
    <row r="37" spans="1:7" ht="39.75" customHeight="1" x14ac:dyDescent="0.25">
      <c r="A37" s="99">
        <v>33</v>
      </c>
      <c r="B37" s="100" t="e">
        <f>_xlfn.CONCAT(VLOOKUP(A37,Abstract1!A$4:R$102,4,FALSE),"",VLOOKUP(A37,Abstract1!A$4:R$102,5,FALSE))</f>
        <v>#N/A</v>
      </c>
      <c r="C37" s="96" t="e">
        <f>VLOOKUP(A37,Abstract1!A$4:R$102,17,FALSE)</f>
        <v>#N/A</v>
      </c>
      <c r="D37" s="109" t="e">
        <f>VLOOKUP(A37,Abstract1!A$4:R$102,12,FALSE)</f>
        <v>#N/A</v>
      </c>
      <c r="E37" s="109" t="e">
        <f>VLOOKUP(A37,Abstract1!A$4:R$102,18,FALSE)</f>
        <v>#N/A</v>
      </c>
      <c r="F37" s="110" t="e">
        <f>VLOOKUP(A37,Abstract1!A$4:R$102,13,FALSE)</f>
        <v>#N/A</v>
      </c>
      <c r="G37" s="110" t="e">
        <f>VLOOKUP(A37,Abstract1!A$4:R$102,11,FALSE)</f>
        <v>#N/A</v>
      </c>
    </row>
    <row r="38" spans="1:7" ht="39.75" customHeight="1" x14ac:dyDescent="0.25">
      <c r="A38" s="99">
        <v>34</v>
      </c>
      <c r="B38" s="100" t="e">
        <f>_xlfn.CONCAT(VLOOKUP(A38,Abstract1!A$4:R$102,4,FALSE),"",VLOOKUP(A38,Abstract1!A$4:R$102,5,FALSE))</f>
        <v>#N/A</v>
      </c>
      <c r="C38" s="96" t="e">
        <f>VLOOKUP(A38,Abstract1!A$4:R$102,17,FALSE)</f>
        <v>#N/A</v>
      </c>
      <c r="D38" s="109" t="e">
        <f>VLOOKUP(A38,Abstract1!A$4:R$102,12,FALSE)</f>
        <v>#N/A</v>
      </c>
      <c r="E38" s="109" t="e">
        <f>VLOOKUP(A38,Abstract1!A$4:R$102,18,FALSE)</f>
        <v>#N/A</v>
      </c>
      <c r="F38" s="110" t="e">
        <f>VLOOKUP(A38,Abstract1!A$4:R$102,13,FALSE)</f>
        <v>#N/A</v>
      </c>
      <c r="G38" s="110" t="e">
        <f>VLOOKUP(A38,Abstract1!A$4:R$102,11,FALSE)</f>
        <v>#N/A</v>
      </c>
    </row>
    <row r="39" spans="1:7" ht="39.75" customHeight="1" x14ac:dyDescent="0.25">
      <c r="A39" s="99">
        <v>35</v>
      </c>
      <c r="B39" s="100" t="e">
        <f>_xlfn.CONCAT(VLOOKUP(A39,Abstract1!A$4:R$102,4,FALSE),"",VLOOKUP(A39,Abstract1!A$4:R$102,5,FALSE))</f>
        <v>#N/A</v>
      </c>
      <c r="C39" s="96" t="e">
        <f>VLOOKUP(A39,Abstract1!A$4:R$102,17,FALSE)</f>
        <v>#N/A</v>
      </c>
      <c r="D39" s="109" t="e">
        <f>VLOOKUP(A39,Abstract1!A$4:R$102,12,FALSE)</f>
        <v>#N/A</v>
      </c>
      <c r="E39" s="109" t="e">
        <f>VLOOKUP(A39,Abstract1!A$4:R$102,18,FALSE)</f>
        <v>#N/A</v>
      </c>
      <c r="F39" s="110" t="e">
        <f>VLOOKUP(A39,Abstract1!A$4:R$102,13,FALSE)</f>
        <v>#N/A</v>
      </c>
      <c r="G39" s="110" t="e">
        <f>VLOOKUP(A39,Abstract1!A$4:R$102,11,FALSE)</f>
        <v>#N/A</v>
      </c>
    </row>
    <row r="40" spans="1:7" ht="39.75" customHeight="1" x14ac:dyDescent="0.25">
      <c r="A40" s="99">
        <v>36</v>
      </c>
      <c r="B40" s="100" t="e">
        <f>_xlfn.CONCAT(VLOOKUP(A40,Abstract1!A$4:R$102,4,FALSE),"",VLOOKUP(A40,Abstract1!A$4:R$102,5,FALSE))</f>
        <v>#N/A</v>
      </c>
      <c r="C40" s="96" t="e">
        <f>VLOOKUP(A40,Abstract1!A$4:R$102,17,FALSE)</f>
        <v>#N/A</v>
      </c>
      <c r="D40" s="109" t="e">
        <f>VLOOKUP(A40,Abstract1!A$4:R$102,12,FALSE)</f>
        <v>#N/A</v>
      </c>
      <c r="E40" s="109" t="e">
        <f>VLOOKUP(A40,Abstract1!A$4:R$102,18,FALSE)</f>
        <v>#N/A</v>
      </c>
      <c r="F40" s="110" t="e">
        <f>VLOOKUP(A40,Abstract1!A$4:R$102,13,FALSE)</f>
        <v>#N/A</v>
      </c>
      <c r="G40" s="110" t="e">
        <f>VLOOKUP(A40,Abstract1!A$4:R$102,11,FALSE)</f>
        <v>#N/A</v>
      </c>
    </row>
    <row r="41" spans="1:7" ht="39.75" customHeight="1" x14ac:dyDescent="0.25">
      <c r="A41" s="99">
        <v>37</v>
      </c>
      <c r="B41" s="100" t="e">
        <f>_xlfn.CONCAT(VLOOKUP(A41,Abstract1!A$4:R$102,4,FALSE),"",VLOOKUP(A41,Abstract1!A$4:R$102,5,FALSE))</f>
        <v>#N/A</v>
      </c>
      <c r="C41" s="96" t="e">
        <f>VLOOKUP(A41,Abstract1!A$4:R$102,17,FALSE)</f>
        <v>#N/A</v>
      </c>
      <c r="D41" s="109" t="e">
        <f>VLOOKUP(A41,Abstract1!A$4:R$102,12,FALSE)</f>
        <v>#N/A</v>
      </c>
      <c r="E41" s="109" t="e">
        <f>VLOOKUP(A41,Abstract1!A$4:R$102,18,FALSE)</f>
        <v>#N/A</v>
      </c>
      <c r="F41" s="110" t="e">
        <f>VLOOKUP(A41,Abstract1!A$4:R$102,13,FALSE)</f>
        <v>#N/A</v>
      </c>
      <c r="G41" s="110" t="e">
        <f>VLOOKUP(A41,Abstract1!A$4:R$102,11,FALSE)</f>
        <v>#N/A</v>
      </c>
    </row>
    <row r="42" spans="1:7" ht="39.75" customHeight="1" x14ac:dyDescent="0.25">
      <c r="A42" s="99">
        <v>38</v>
      </c>
      <c r="B42" s="100" t="e">
        <f>_xlfn.CONCAT(VLOOKUP(A42,Abstract1!A$4:R$102,4,FALSE),"",VLOOKUP(A42,Abstract1!A$4:R$102,5,FALSE))</f>
        <v>#N/A</v>
      </c>
      <c r="C42" s="96" t="e">
        <f>VLOOKUP(A42,Abstract1!A$4:R$102,17,FALSE)</f>
        <v>#N/A</v>
      </c>
      <c r="D42" s="109" t="e">
        <f>VLOOKUP(A42,Abstract1!A$4:R$102,12,FALSE)</f>
        <v>#N/A</v>
      </c>
      <c r="E42" s="109" t="e">
        <f>VLOOKUP(A42,Abstract1!A$4:R$102,18,FALSE)</f>
        <v>#N/A</v>
      </c>
      <c r="F42" s="110" t="e">
        <f>VLOOKUP(A42,Abstract1!A$4:R$102,13,FALSE)</f>
        <v>#N/A</v>
      </c>
      <c r="G42" s="110" t="e">
        <f>VLOOKUP(A42,Abstract1!A$4:R$102,11,FALSE)</f>
        <v>#N/A</v>
      </c>
    </row>
    <row r="43" spans="1:7" ht="39.75" customHeight="1" x14ac:dyDescent="0.25">
      <c r="A43" s="99">
        <v>39</v>
      </c>
      <c r="B43" s="100" t="e">
        <f>_xlfn.CONCAT(VLOOKUP(A43,Abstract1!A$4:R$102,4,FALSE),"",VLOOKUP(A43,Abstract1!A$4:R$102,5,FALSE))</f>
        <v>#N/A</v>
      </c>
      <c r="C43" s="96" t="e">
        <f>VLOOKUP(A43,Abstract1!A$4:R$102,17,FALSE)</f>
        <v>#N/A</v>
      </c>
      <c r="D43" s="109" t="e">
        <f>VLOOKUP(A43,Abstract1!A$4:R$102,12,FALSE)</f>
        <v>#N/A</v>
      </c>
      <c r="E43" s="109" t="e">
        <f>VLOOKUP(A43,Abstract1!A$4:R$102,18,FALSE)</f>
        <v>#N/A</v>
      </c>
      <c r="F43" s="110" t="e">
        <f>VLOOKUP(A43,Abstract1!A$4:R$102,13,FALSE)</f>
        <v>#N/A</v>
      </c>
      <c r="G43" s="110" t="e">
        <f>VLOOKUP(A43,Abstract1!A$4:R$102,11,FALSE)</f>
        <v>#N/A</v>
      </c>
    </row>
    <row r="44" spans="1:7" ht="39.75" customHeight="1" x14ac:dyDescent="0.25">
      <c r="A44" s="99">
        <v>40</v>
      </c>
      <c r="B44" s="100" t="e">
        <f>_xlfn.CONCAT(VLOOKUP(A44,Abstract1!A$4:R$102,4,FALSE),"",VLOOKUP(A44,Abstract1!A$4:R$102,5,FALSE))</f>
        <v>#N/A</v>
      </c>
      <c r="C44" s="96" t="e">
        <f>VLOOKUP(A44,Abstract1!A$4:R$102,17,FALSE)</f>
        <v>#N/A</v>
      </c>
      <c r="D44" s="109" t="e">
        <f>VLOOKUP(A44,Abstract1!A$4:R$102,12,FALSE)</f>
        <v>#N/A</v>
      </c>
      <c r="E44" s="109" t="e">
        <f>VLOOKUP(A44,Abstract1!A$4:R$102,18,FALSE)</f>
        <v>#N/A</v>
      </c>
      <c r="F44" s="110" t="e">
        <f>VLOOKUP(A44,Abstract1!A$4:R$102,13,FALSE)</f>
        <v>#N/A</v>
      </c>
      <c r="G44" s="110" t="e">
        <f>VLOOKUP(A44,Abstract1!A$4:R$102,11,FALSE)</f>
        <v>#N/A</v>
      </c>
    </row>
    <row r="45" spans="1:7" ht="39.75" customHeight="1" x14ac:dyDescent="0.25">
      <c r="A45" s="99">
        <v>41</v>
      </c>
      <c r="B45" s="100" t="e">
        <f>_xlfn.CONCAT(VLOOKUP(A45,Abstract1!A$4:R$102,4,FALSE),"",VLOOKUP(A45,Abstract1!A$4:R$102,5,FALSE))</f>
        <v>#N/A</v>
      </c>
      <c r="C45" s="96" t="e">
        <f>VLOOKUP(A45,Abstract1!A$4:R$102,17,FALSE)</f>
        <v>#N/A</v>
      </c>
      <c r="D45" s="109" t="e">
        <f>VLOOKUP(A45,Abstract1!A$4:R$102,12,FALSE)</f>
        <v>#N/A</v>
      </c>
      <c r="E45" s="109" t="e">
        <f>VLOOKUP(A45,Abstract1!A$4:R$102,18,FALSE)</f>
        <v>#N/A</v>
      </c>
      <c r="F45" s="110" t="e">
        <f>VLOOKUP(A45,Abstract1!A$4:R$102,13,FALSE)</f>
        <v>#N/A</v>
      </c>
      <c r="G45" s="110" t="e">
        <f>VLOOKUP(A45,Abstract1!A$4:R$102,11,FALSE)</f>
        <v>#N/A</v>
      </c>
    </row>
    <row r="46" spans="1:7" ht="39.75" customHeight="1" x14ac:dyDescent="0.25">
      <c r="A46" s="99">
        <v>42</v>
      </c>
      <c r="B46" s="100" t="e">
        <f>_xlfn.CONCAT(VLOOKUP(A46,Abstract1!A$4:R$102,4,FALSE),"",VLOOKUP(A46,Abstract1!A$4:R$102,5,FALSE))</f>
        <v>#N/A</v>
      </c>
      <c r="C46" s="96" t="e">
        <f>VLOOKUP(A46,Abstract1!A$4:R$102,17,FALSE)</f>
        <v>#N/A</v>
      </c>
      <c r="D46" s="109" t="e">
        <f>VLOOKUP(A46,Abstract1!A$4:R$102,12,FALSE)</f>
        <v>#N/A</v>
      </c>
      <c r="E46" s="109" t="e">
        <f>VLOOKUP(A46,Abstract1!A$4:R$102,18,FALSE)</f>
        <v>#N/A</v>
      </c>
      <c r="F46" s="110" t="e">
        <f>VLOOKUP(A46,Abstract1!A$4:R$102,13,FALSE)</f>
        <v>#N/A</v>
      </c>
      <c r="G46" s="110" t="e">
        <f>VLOOKUP(A46,Abstract1!A$4:R$102,11,FALSE)</f>
        <v>#N/A</v>
      </c>
    </row>
    <row r="47" spans="1:7" ht="39.75" customHeight="1" x14ac:dyDescent="0.25">
      <c r="A47" s="99">
        <v>43</v>
      </c>
      <c r="B47" s="100" t="e">
        <f>_xlfn.CONCAT(VLOOKUP(A47,Abstract1!A$4:R$102,4,FALSE),"",VLOOKUP(A47,Abstract1!A$4:R$102,5,FALSE))</f>
        <v>#N/A</v>
      </c>
      <c r="C47" s="96" t="e">
        <f>VLOOKUP(A47,Abstract1!A$4:R$102,17,FALSE)</f>
        <v>#N/A</v>
      </c>
      <c r="D47" s="109" t="e">
        <f>VLOOKUP(A47,Abstract1!A$4:R$102,12,FALSE)</f>
        <v>#N/A</v>
      </c>
      <c r="E47" s="109" t="e">
        <f>VLOOKUP(A47,Abstract1!A$4:R$102,18,FALSE)</f>
        <v>#N/A</v>
      </c>
      <c r="F47" s="110" t="e">
        <f>VLOOKUP(A47,Abstract1!A$4:R$102,13,FALSE)</f>
        <v>#N/A</v>
      </c>
      <c r="G47" s="110" t="e">
        <f>VLOOKUP(A47,Abstract1!A$4:R$102,11,FALSE)</f>
        <v>#N/A</v>
      </c>
    </row>
    <row r="48" spans="1:7" ht="39.75" customHeight="1" x14ac:dyDescent="0.25">
      <c r="A48" s="99">
        <v>44</v>
      </c>
      <c r="B48" s="100" t="e">
        <f>_xlfn.CONCAT(VLOOKUP(A48,Abstract1!A$4:R$102,4,FALSE),"",VLOOKUP(A48,Abstract1!A$4:R$102,5,FALSE))</f>
        <v>#N/A</v>
      </c>
      <c r="C48" s="96" t="e">
        <f>VLOOKUP(A48,Abstract1!A$4:R$102,17,FALSE)</f>
        <v>#N/A</v>
      </c>
      <c r="D48" s="109" t="e">
        <f>VLOOKUP(A48,Abstract1!A$4:R$102,12,FALSE)</f>
        <v>#N/A</v>
      </c>
      <c r="E48" s="109" t="e">
        <f>VLOOKUP(A48,Abstract1!A$4:R$102,18,FALSE)</f>
        <v>#N/A</v>
      </c>
      <c r="F48" s="110" t="e">
        <f>VLOOKUP(A48,Abstract1!A$4:R$102,13,FALSE)</f>
        <v>#N/A</v>
      </c>
      <c r="G48" s="110" t="e">
        <f>VLOOKUP(A48,Abstract1!A$4:R$102,11,FALSE)</f>
        <v>#N/A</v>
      </c>
    </row>
    <row r="49" spans="1:7" ht="39.75" customHeight="1" x14ac:dyDescent="0.25">
      <c r="A49" s="99">
        <v>45</v>
      </c>
      <c r="B49" s="100" t="e">
        <f>_xlfn.CONCAT(VLOOKUP(A49,Abstract1!A$4:R$102,4,FALSE),"",VLOOKUP(A49,Abstract1!A$4:R$102,5,FALSE))</f>
        <v>#N/A</v>
      </c>
      <c r="C49" s="96" t="e">
        <f>VLOOKUP(A49,Abstract1!A$4:R$102,17,FALSE)</f>
        <v>#N/A</v>
      </c>
      <c r="D49" s="109" t="e">
        <f>VLOOKUP(A49,Abstract1!A$4:R$102,12,FALSE)</f>
        <v>#N/A</v>
      </c>
      <c r="E49" s="109" t="e">
        <f>VLOOKUP(A49,Abstract1!A$4:R$102,18,FALSE)</f>
        <v>#N/A</v>
      </c>
      <c r="F49" s="110" t="e">
        <f>VLOOKUP(A49,Abstract1!A$4:R$102,13,FALSE)</f>
        <v>#N/A</v>
      </c>
      <c r="G49" s="110" t="e">
        <f>VLOOKUP(A49,Abstract1!A$4:R$102,11,FALSE)</f>
        <v>#N/A</v>
      </c>
    </row>
    <row r="50" spans="1:7" ht="39.75" customHeight="1" x14ac:dyDescent="0.25">
      <c r="A50" s="99">
        <v>46</v>
      </c>
      <c r="B50" s="100" t="e">
        <f>_xlfn.CONCAT(VLOOKUP(A50,Abstract1!A$4:R$102,4,FALSE),"",VLOOKUP(A50,Abstract1!A$4:R$102,5,FALSE))</f>
        <v>#N/A</v>
      </c>
      <c r="C50" s="96" t="e">
        <f>VLOOKUP(A50,Abstract1!A$4:R$102,17,FALSE)</f>
        <v>#N/A</v>
      </c>
      <c r="D50" s="109" t="e">
        <f>VLOOKUP(A50,Abstract1!A$4:R$102,12,FALSE)</f>
        <v>#N/A</v>
      </c>
      <c r="E50" s="109" t="e">
        <f>VLOOKUP(A50,Abstract1!A$4:R$102,18,FALSE)</f>
        <v>#N/A</v>
      </c>
      <c r="F50" s="110" t="e">
        <f>VLOOKUP(A50,Abstract1!A$4:R$102,13,FALSE)</f>
        <v>#N/A</v>
      </c>
      <c r="G50" s="110" t="e">
        <f>VLOOKUP(A50,Abstract1!A$4:R$102,11,FALSE)</f>
        <v>#N/A</v>
      </c>
    </row>
    <row r="51" spans="1:7" ht="39.75" customHeight="1" x14ac:dyDescent="0.25">
      <c r="A51" s="99">
        <v>47</v>
      </c>
      <c r="B51" s="100" t="e">
        <f>_xlfn.CONCAT(VLOOKUP(A51,Abstract1!A$4:R$102,4,FALSE),"",VLOOKUP(A51,Abstract1!A$4:R$102,5,FALSE))</f>
        <v>#N/A</v>
      </c>
      <c r="C51" s="96" t="e">
        <f>VLOOKUP(A51,Abstract1!A$4:R$102,17,FALSE)</f>
        <v>#N/A</v>
      </c>
      <c r="D51" s="109" t="e">
        <f>VLOOKUP(A51,Abstract1!A$4:R$102,12,FALSE)</f>
        <v>#N/A</v>
      </c>
      <c r="E51" s="109" t="e">
        <f>VLOOKUP(A51,Abstract1!A$4:R$102,18,FALSE)</f>
        <v>#N/A</v>
      </c>
      <c r="F51" s="110" t="e">
        <f>VLOOKUP(A51,Abstract1!A$4:R$102,13,FALSE)</f>
        <v>#N/A</v>
      </c>
      <c r="G51" s="110" t="e">
        <f>VLOOKUP(A51,Abstract1!A$4:R$102,11,FALSE)</f>
        <v>#N/A</v>
      </c>
    </row>
    <row r="52" spans="1:7" ht="39.75" customHeight="1" x14ac:dyDescent="0.25">
      <c r="A52" s="99">
        <v>48</v>
      </c>
      <c r="B52" s="100" t="e">
        <f>_xlfn.CONCAT(VLOOKUP(A52,Abstract1!A$4:R$102,4,FALSE),"",VLOOKUP(A52,Abstract1!A$4:R$102,5,FALSE))</f>
        <v>#N/A</v>
      </c>
      <c r="C52" s="96" t="e">
        <f>VLOOKUP(A52,Abstract1!A$4:R$102,17,FALSE)</f>
        <v>#N/A</v>
      </c>
      <c r="D52" s="109" t="e">
        <f>VLOOKUP(A52,Abstract1!A$4:R$102,12,FALSE)</f>
        <v>#N/A</v>
      </c>
      <c r="E52" s="109" t="e">
        <f>VLOOKUP(A52,Abstract1!A$4:R$102,18,FALSE)</f>
        <v>#N/A</v>
      </c>
      <c r="F52" s="110" t="e">
        <f>VLOOKUP(A52,Abstract1!A$4:R$102,13,FALSE)</f>
        <v>#N/A</v>
      </c>
      <c r="G52" s="110" t="e">
        <f>VLOOKUP(A52,Abstract1!A$4:R$102,11,FALSE)</f>
        <v>#N/A</v>
      </c>
    </row>
    <row r="53" spans="1:7" ht="39.75" customHeight="1" x14ac:dyDescent="0.25">
      <c r="A53" s="99">
        <v>49</v>
      </c>
      <c r="B53" s="100" t="e">
        <f>_xlfn.CONCAT(VLOOKUP(A53,Abstract1!A$4:R$102,4,FALSE),"",VLOOKUP(A53,Abstract1!A$4:R$102,5,FALSE))</f>
        <v>#N/A</v>
      </c>
      <c r="C53" s="96" t="e">
        <f>VLOOKUP(A53,Abstract1!A$4:R$102,17,FALSE)</f>
        <v>#N/A</v>
      </c>
      <c r="D53" s="109" t="e">
        <f>VLOOKUP(A53,Abstract1!A$4:R$102,12,FALSE)</f>
        <v>#N/A</v>
      </c>
      <c r="E53" s="109" t="e">
        <f>VLOOKUP(A53,Abstract1!A$4:R$102,18,FALSE)</f>
        <v>#N/A</v>
      </c>
      <c r="F53" s="110" t="e">
        <f>VLOOKUP(A53,Abstract1!A$4:R$102,13,FALSE)</f>
        <v>#N/A</v>
      </c>
      <c r="G53" s="110" t="e">
        <f>VLOOKUP(A53,Abstract1!A$4:R$102,11,FALSE)</f>
        <v>#N/A</v>
      </c>
    </row>
    <row r="54" spans="1:7" ht="39.75" customHeight="1" x14ac:dyDescent="0.25">
      <c r="A54" s="99">
        <v>50</v>
      </c>
      <c r="B54" s="100" t="e">
        <f>_xlfn.CONCAT(VLOOKUP(A54,Abstract1!A$4:R$102,4,FALSE),"",VLOOKUP(A54,Abstract1!A$4:R$102,5,FALSE))</f>
        <v>#N/A</v>
      </c>
      <c r="C54" s="96" t="e">
        <f>VLOOKUP(A54,Abstract1!A$4:R$102,17,FALSE)</f>
        <v>#N/A</v>
      </c>
      <c r="D54" s="109" t="e">
        <f>VLOOKUP(A54,Abstract1!A$4:R$102,12,FALSE)</f>
        <v>#N/A</v>
      </c>
      <c r="E54" s="109" t="e">
        <f>VLOOKUP(A54,Abstract1!A$4:R$102,18,FALSE)</f>
        <v>#N/A</v>
      </c>
      <c r="F54" s="110" t="e">
        <f>VLOOKUP(A54,Abstract1!A$4:R$102,13,FALSE)</f>
        <v>#N/A</v>
      </c>
      <c r="G54" s="110" t="e">
        <f>VLOOKUP(A54,Abstract1!A$4:R$102,11,FALSE)</f>
        <v>#N/A</v>
      </c>
    </row>
    <row r="55" spans="1:7" ht="39.75" customHeight="1" x14ac:dyDescent="0.25">
      <c r="A55" s="99">
        <v>51</v>
      </c>
      <c r="B55" s="100" t="e">
        <f>_xlfn.CONCAT(VLOOKUP(A55,Abstract1!A$4:R$102,4,FALSE),"",VLOOKUP(A55,Abstract1!A$4:R$102,5,FALSE))</f>
        <v>#N/A</v>
      </c>
      <c r="C55" s="96" t="e">
        <f>VLOOKUP(A55,Abstract1!A$4:R$102,17,FALSE)</f>
        <v>#N/A</v>
      </c>
      <c r="D55" s="109" t="e">
        <f>VLOOKUP(A55,Abstract1!A$4:R$102,12,FALSE)</f>
        <v>#N/A</v>
      </c>
      <c r="E55" s="109" t="e">
        <f>VLOOKUP(A55,Abstract1!A$4:R$102,18,FALSE)</f>
        <v>#N/A</v>
      </c>
      <c r="F55" s="110" t="e">
        <f>VLOOKUP(A55,Abstract1!A$4:R$102,13,FALSE)</f>
        <v>#N/A</v>
      </c>
      <c r="G55" s="110" t="e">
        <f>VLOOKUP(A55,Abstract1!A$4:R$102,11,FALSE)</f>
        <v>#N/A</v>
      </c>
    </row>
    <row r="56" spans="1:7" ht="39.75" customHeight="1" x14ac:dyDescent="0.25">
      <c r="A56" s="99">
        <v>52</v>
      </c>
      <c r="B56" s="100" t="e">
        <f>_xlfn.CONCAT(VLOOKUP(A56,Abstract1!A$4:R$102,4,FALSE),"",VLOOKUP(A56,Abstract1!A$4:R$102,5,FALSE))</f>
        <v>#N/A</v>
      </c>
      <c r="C56" s="96" t="e">
        <f>VLOOKUP(A56,Abstract1!A$4:R$102,17,FALSE)</f>
        <v>#N/A</v>
      </c>
      <c r="D56" s="109" t="e">
        <f>VLOOKUP(A56,Abstract1!A$4:R$102,12,FALSE)</f>
        <v>#N/A</v>
      </c>
      <c r="E56" s="109" t="e">
        <f>VLOOKUP(A56,Abstract1!A$4:R$102,18,FALSE)</f>
        <v>#N/A</v>
      </c>
      <c r="F56" s="110" t="e">
        <f>VLOOKUP(A56,Abstract1!A$4:R$102,13,FALSE)</f>
        <v>#N/A</v>
      </c>
      <c r="G56" s="110" t="e">
        <f>VLOOKUP(A56,Abstract1!A$4:R$102,11,FALSE)</f>
        <v>#N/A</v>
      </c>
    </row>
    <row r="57" spans="1:7" ht="39.75" customHeight="1" x14ac:dyDescent="0.25">
      <c r="A57" s="99">
        <v>53</v>
      </c>
      <c r="B57" s="100" t="e">
        <f>_xlfn.CONCAT(VLOOKUP(A57,Abstract1!A$4:R$102,4,FALSE),"",VLOOKUP(A57,Abstract1!A$4:R$102,5,FALSE))</f>
        <v>#N/A</v>
      </c>
      <c r="C57" s="96" t="e">
        <f>VLOOKUP(A57,Abstract1!A$4:R$102,17,FALSE)</f>
        <v>#N/A</v>
      </c>
      <c r="D57" s="109" t="e">
        <f>VLOOKUP(A57,Abstract1!A$4:R$102,12,FALSE)</f>
        <v>#N/A</v>
      </c>
      <c r="E57" s="109" t="e">
        <f>VLOOKUP(A57,Abstract1!A$4:R$102,18,FALSE)</f>
        <v>#N/A</v>
      </c>
      <c r="F57" s="110" t="e">
        <f>VLOOKUP(A57,Abstract1!A$4:R$102,13,FALSE)</f>
        <v>#N/A</v>
      </c>
      <c r="G57" s="110" t="e">
        <f>VLOOKUP(A57,Abstract1!A$4:R$102,11,FALSE)</f>
        <v>#N/A</v>
      </c>
    </row>
    <row r="58" spans="1:7" ht="39.75" customHeight="1" x14ac:dyDescent="0.25">
      <c r="A58" s="99">
        <v>54</v>
      </c>
      <c r="B58" s="100" t="e">
        <f>_xlfn.CONCAT(VLOOKUP(A58,Abstract1!A$4:R$102,4,FALSE),"",VLOOKUP(A58,Abstract1!A$4:R$102,5,FALSE))</f>
        <v>#N/A</v>
      </c>
      <c r="C58" s="96" t="e">
        <f>VLOOKUP(A58,Abstract1!A$4:R$102,17,FALSE)</f>
        <v>#N/A</v>
      </c>
      <c r="D58" s="109" t="e">
        <f>VLOOKUP(A58,Abstract1!A$4:R$102,12,FALSE)</f>
        <v>#N/A</v>
      </c>
      <c r="E58" s="109" t="e">
        <f>VLOOKUP(A58,Abstract1!A$4:R$102,18,FALSE)</f>
        <v>#N/A</v>
      </c>
      <c r="F58" s="110" t="e">
        <f>VLOOKUP(A58,Abstract1!A$4:R$102,13,FALSE)</f>
        <v>#N/A</v>
      </c>
      <c r="G58" s="110" t="e">
        <f>VLOOKUP(A58,Abstract1!A$4:R$102,11,FALSE)</f>
        <v>#N/A</v>
      </c>
    </row>
    <row r="59" spans="1:7" ht="39.75" customHeight="1" x14ac:dyDescent="0.25">
      <c r="A59" s="99">
        <v>55</v>
      </c>
      <c r="B59" s="100" t="e">
        <f>_xlfn.CONCAT(VLOOKUP(A59,Abstract1!A$4:R$102,4,FALSE),"",VLOOKUP(A59,Abstract1!A$4:R$102,5,FALSE))</f>
        <v>#N/A</v>
      </c>
      <c r="C59" s="96" t="e">
        <f>VLOOKUP(A59,Abstract1!A$4:R$102,17,FALSE)</f>
        <v>#N/A</v>
      </c>
      <c r="D59" s="109" t="e">
        <f>VLOOKUP(A59,Abstract1!A$4:R$102,12,FALSE)</f>
        <v>#N/A</v>
      </c>
      <c r="E59" s="109" t="e">
        <f>VLOOKUP(A59,Abstract1!A$4:R$102,18,FALSE)</f>
        <v>#N/A</v>
      </c>
      <c r="F59" s="110" t="e">
        <f>VLOOKUP(A59,Abstract1!A$4:R$102,13,FALSE)</f>
        <v>#N/A</v>
      </c>
      <c r="G59" s="110" t="e">
        <f>VLOOKUP(A59,Abstract1!A$4:R$102,11,FALSE)</f>
        <v>#N/A</v>
      </c>
    </row>
    <row r="60" spans="1:7" ht="39.75" customHeight="1" x14ac:dyDescent="0.25">
      <c r="A60" s="99">
        <v>56</v>
      </c>
      <c r="B60" s="100" t="e">
        <f>_xlfn.CONCAT(VLOOKUP(A60,Abstract1!A$4:R$102,4,FALSE),"",VLOOKUP(A60,Abstract1!A$4:R$102,5,FALSE))</f>
        <v>#N/A</v>
      </c>
      <c r="C60" s="96" t="e">
        <f>VLOOKUP(A60,Abstract1!A$4:R$102,17,FALSE)</f>
        <v>#N/A</v>
      </c>
      <c r="D60" s="109" t="e">
        <f>VLOOKUP(A60,Abstract1!A$4:R$102,12,FALSE)</f>
        <v>#N/A</v>
      </c>
      <c r="E60" s="109" t="e">
        <f>VLOOKUP(A60,Abstract1!A$4:R$102,18,FALSE)</f>
        <v>#N/A</v>
      </c>
      <c r="F60" s="110" t="e">
        <f>VLOOKUP(A60,Abstract1!A$4:R$102,13,FALSE)</f>
        <v>#N/A</v>
      </c>
      <c r="G60" s="110" t="e">
        <f>VLOOKUP(A60,Abstract1!A$4:R$102,11,FALSE)</f>
        <v>#N/A</v>
      </c>
    </row>
    <row r="61" spans="1:7" ht="39.75" customHeight="1" x14ac:dyDescent="0.25">
      <c r="A61" s="99">
        <v>57</v>
      </c>
      <c r="B61" s="100" t="e">
        <f>_xlfn.CONCAT(VLOOKUP(A61,Abstract1!A$4:R$102,4,FALSE),"",VLOOKUP(A61,Abstract1!A$4:R$102,5,FALSE))</f>
        <v>#N/A</v>
      </c>
      <c r="C61" s="96" t="e">
        <f>VLOOKUP(A61,Abstract1!A$4:R$102,17,FALSE)</f>
        <v>#N/A</v>
      </c>
      <c r="D61" s="109" t="e">
        <f>VLOOKUP(A61,Abstract1!A$4:R$102,12,FALSE)</f>
        <v>#N/A</v>
      </c>
      <c r="E61" s="109" t="e">
        <f>VLOOKUP(A61,Abstract1!A$4:R$102,18,FALSE)</f>
        <v>#N/A</v>
      </c>
      <c r="F61" s="110" t="e">
        <f>VLOOKUP(A61,Abstract1!A$4:R$102,13,FALSE)</f>
        <v>#N/A</v>
      </c>
      <c r="G61" s="110" t="e">
        <f>VLOOKUP(A61,Abstract1!A$4:R$102,11,FALSE)</f>
        <v>#N/A</v>
      </c>
    </row>
    <row r="62" spans="1:7" ht="39.75" customHeight="1" x14ac:dyDescent="0.25">
      <c r="A62" s="99">
        <v>58</v>
      </c>
      <c r="B62" s="100" t="e">
        <f>_xlfn.CONCAT(VLOOKUP(A62,Abstract1!A$4:R$102,4,FALSE),"",VLOOKUP(A62,Abstract1!A$4:R$102,5,FALSE))</f>
        <v>#N/A</v>
      </c>
      <c r="C62" s="96" t="e">
        <f>VLOOKUP(A62,Abstract1!A$4:R$102,17,FALSE)</f>
        <v>#N/A</v>
      </c>
      <c r="D62" s="109" t="e">
        <f>VLOOKUP(A62,Abstract1!A$4:R$102,12,FALSE)</f>
        <v>#N/A</v>
      </c>
      <c r="E62" s="109" t="e">
        <f>VLOOKUP(A62,Abstract1!A$4:R$102,18,FALSE)</f>
        <v>#N/A</v>
      </c>
      <c r="F62" s="110" t="e">
        <f>VLOOKUP(A62,Abstract1!A$4:R$102,13,FALSE)</f>
        <v>#N/A</v>
      </c>
      <c r="G62" s="110" t="e">
        <f>VLOOKUP(A62,Abstract1!A$4:R$102,11,FALSE)</f>
        <v>#N/A</v>
      </c>
    </row>
    <row r="63" spans="1:7" ht="39.75" customHeight="1" x14ac:dyDescent="0.25">
      <c r="A63" s="99">
        <v>59</v>
      </c>
      <c r="B63" s="100" t="e">
        <f>_xlfn.CONCAT(VLOOKUP(A63,Abstract1!A$4:R$102,4,FALSE),"",VLOOKUP(A63,Abstract1!A$4:R$102,5,FALSE))</f>
        <v>#N/A</v>
      </c>
      <c r="C63" s="96" t="e">
        <f>VLOOKUP(A63,Abstract1!A$4:R$102,17,FALSE)</f>
        <v>#N/A</v>
      </c>
      <c r="D63" s="109" t="e">
        <f>VLOOKUP(A63,Abstract1!A$4:R$102,12,FALSE)</f>
        <v>#N/A</v>
      </c>
      <c r="E63" s="109" t="e">
        <f>VLOOKUP(A63,Abstract1!A$4:R$102,18,FALSE)</f>
        <v>#N/A</v>
      </c>
      <c r="F63" s="110" t="e">
        <f>VLOOKUP(A63,Abstract1!A$4:R$102,13,FALSE)</f>
        <v>#N/A</v>
      </c>
      <c r="G63" s="110" t="e">
        <f>VLOOKUP(A63,Abstract1!A$4:R$102,11,FALSE)</f>
        <v>#N/A</v>
      </c>
    </row>
    <row r="64" spans="1:7" ht="39.75" customHeight="1" x14ac:dyDescent="0.25">
      <c r="A64" s="99">
        <v>60</v>
      </c>
      <c r="B64" s="100" t="e">
        <f>_xlfn.CONCAT(VLOOKUP(A64,Abstract1!A$4:R$102,4,FALSE),"",VLOOKUP(A64,Abstract1!A$4:R$102,5,FALSE))</f>
        <v>#N/A</v>
      </c>
      <c r="C64" s="96" t="e">
        <f>VLOOKUP(A64,Abstract1!A$4:R$102,17,FALSE)</f>
        <v>#N/A</v>
      </c>
      <c r="D64" s="109" t="e">
        <f>VLOOKUP(A64,Abstract1!A$4:R$102,12,FALSE)</f>
        <v>#N/A</v>
      </c>
      <c r="E64" s="109" t="e">
        <f>VLOOKUP(A64,Abstract1!A$4:R$102,18,FALSE)</f>
        <v>#N/A</v>
      </c>
      <c r="F64" s="110" t="e">
        <f>VLOOKUP(A64,Abstract1!A$4:R$102,13,FALSE)</f>
        <v>#N/A</v>
      </c>
      <c r="G64" s="110" t="e">
        <f>VLOOKUP(A64,Abstract1!A$4:R$102,11,FALSE)</f>
        <v>#N/A</v>
      </c>
    </row>
    <row r="65" spans="1:7" ht="39.75" customHeight="1" x14ac:dyDescent="0.25">
      <c r="A65" s="99">
        <v>61</v>
      </c>
      <c r="B65" s="100" t="e">
        <f>_xlfn.CONCAT(VLOOKUP(A65,Abstract1!A$4:R$102,4,FALSE),"",VLOOKUP(A65,Abstract1!A$4:R$102,5,FALSE))</f>
        <v>#N/A</v>
      </c>
      <c r="C65" s="96" t="e">
        <f>VLOOKUP(A65,Abstract1!A$4:R$102,17,FALSE)</f>
        <v>#N/A</v>
      </c>
      <c r="D65" s="109" t="e">
        <f>VLOOKUP(A65,Abstract1!A$4:R$102,12,FALSE)</f>
        <v>#N/A</v>
      </c>
      <c r="E65" s="109" t="e">
        <f>VLOOKUP(A65,Abstract1!A$4:R$102,18,FALSE)</f>
        <v>#N/A</v>
      </c>
      <c r="F65" s="110" t="e">
        <f>VLOOKUP(A65,Abstract1!A$4:R$102,13,FALSE)</f>
        <v>#N/A</v>
      </c>
      <c r="G65" s="110" t="e">
        <f>VLOOKUP(A65,Abstract1!A$4:R$102,11,FALSE)</f>
        <v>#N/A</v>
      </c>
    </row>
    <row r="66" spans="1:7" ht="39.75" customHeight="1" x14ac:dyDescent="0.25">
      <c r="A66" s="99">
        <v>62</v>
      </c>
      <c r="B66" s="100" t="e">
        <f>_xlfn.CONCAT(VLOOKUP(A66,Abstract1!A$4:R$102,4,FALSE),"",VLOOKUP(A66,Abstract1!A$4:R$102,5,FALSE))</f>
        <v>#N/A</v>
      </c>
      <c r="C66" s="96" t="e">
        <f>VLOOKUP(A66,Abstract1!A$4:R$102,17,FALSE)</f>
        <v>#N/A</v>
      </c>
      <c r="D66" s="109" t="e">
        <f>VLOOKUP(A66,Abstract1!A$4:R$102,12,FALSE)</f>
        <v>#N/A</v>
      </c>
      <c r="E66" s="109" t="e">
        <f>VLOOKUP(A66,Abstract1!A$4:R$102,18,FALSE)</f>
        <v>#N/A</v>
      </c>
      <c r="F66" s="110" t="e">
        <f>VLOOKUP(A66,Abstract1!A$4:R$102,13,FALSE)</f>
        <v>#N/A</v>
      </c>
      <c r="G66" s="110" t="e">
        <f>VLOOKUP(A66,Abstract1!A$4:R$102,11,FALSE)</f>
        <v>#N/A</v>
      </c>
    </row>
    <row r="67" spans="1:7" ht="39.75" customHeight="1" x14ac:dyDescent="0.25">
      <c r="A67" s="99">
        <v>63</v>
      </c>
      <c r="B67" s="100" t="e">
        <f>_xlfn.CONCAT(VLOOKUP(A67,Abstract1!A$4:R$102,4,FALSE),"",VLOOKUP(A67,Abstract1!A$4:R$102,5,FALSE))</f>
        <v>#N/A</v>
      </c>
      <c r="C67" s="96" t="e">
        <f>VLOOKUP(A67,Abstract1!A$4:R$102,17,FALSE)</f>
        <v>#N/A</v>
      </c>
      <c r="D67" s="109" t="e">
        <f>VLOOKUP(A67,Abstract1!A$4:R$102,12,FALSE)</f>
        <v>#N/A</v>
      </c>
      <c r="E67" s="109" t="e">
        <f>VLOOKUP(A67,Abstract1!A$4:R$102,18,FALSE)</f>
        <v>#N/A</v>
      </c>
      <c r="F67" s="110" t="e">
        <f>VLOOKUP(A67,Abstract1!A$4:R$102,13,FALSE)</f>
        <v>#N/A</v>
      </c>
      <c r="G67" s="110" t="e">
        <f>VLOOKUP(A67,Abstract1!A$4:R$102,11,FALSE)</f>
        <v>#N/A</v>
      </c>
    </row>
    <row r="68" spans="1:7" ht="39.75" customHeight="1" x14ac:dyDescent="0.25">
      <c r="A68" s="99">
        <v>64</v>
      </c>
      <c r="B68" s="100" t="e">
        <f>_xlfn.CONCAT(VLOOKUP(A68,Abstract1!A$4:R$102,4,FALSE),"",VLOOKUP(A68,Abstract1!A$4:R$102,5,FALSE))</f>
        <v>#N/A</v>
      </c>
      <c r="C68" s="96" t="e">
        <f>VLOOKUP(A68,Abstract1!A$4:R$102,17,FALSE)</f>
        <v>#N/A</v>
      </c>
      <c r="D68" s="109" t="e">
        <f>VLOOKUP(A68,Abstract1!A$4:R$102,12,FALSE)</f>
        <v>#N/A</v>
      </c>
      <c r="E68" s="109" t="e">
        <f>VLOOKUP(A68,Abstract1!A$4:R$102,18,FALSE)</f>
        <v>#N/A</v>
      </c>
      <c r="F68" s="110" t="e">
        <f>VLOOKUP(A68,Abstract1!A$4:R$102,13,FALSE)</f>
        <v>#N/A</v>
      </c>
      <c r="G68" s="110" t="e">
        <f>VLOOKUP(A68,Abstract1!A$4:R$102,11,FALSE)</f>
        <v>#N/A</v>
      </c>
    </row>
    <row r="69" spans="1:7" ht="39.75" customHeight="1" x14ac:dyDescent="0.25">
      <c r="A69" s="99">
        <v>65</v>
      </c>
      <c r="B69" s="100" t="e">
        <f>_xlfn.CONCAT(VLOOKUP(A69,Abstract1!A$4:R$102,4,FALSE),"",VLOOKUP(A69,Abstract1!A$4:R$102,5,FALSE))</f>
        <v>#N/A</v>
      </c>
      <c r="C69" s="96" t="e">
        <f>VLOOKUP(A69,Abstract1!A$4:R$102,17,FALSE)</f>
        <v>#N/A</v>
      </c>
      <c r="D69" s="109" t="e">
        <f>VLOOKUP(A69,Abstract1!A$4:R$102,12,FALSE)</f>
        <v>#N/A</v>
      </c>
      <c r="E69" s="109" t="e">
        <f>VLOOKUP(A69,Abstract1!A$4:R$102,18,FALSE)</f>
        <v>#N/A</v>
      </c>
      <c r="F69" s="110" t="e">
        <f>VLOOKUP(A69,Abstract1!A$4:R$102,13,FALSE)</f>
        <v>#N/A</v>
      </c>
      <c r="G69" s="110" t="e">
        <f>VLOOKUP(A69,Abstract1!A$4:R$102,11,FALSE)</f>
        <v>#N/A</v>
      </c>
    </row>
    <row r="70" spans="1:7" ht="39.75" customHeight="1" x14ac:dyDescent="0.25">
      <c r="A70" s="99">
        <v>66</v>
      </c>
      <c r="B70" s="100" t="e">
        <f>_xlfn.CONCAT(VLOOKUP(A70,Abstract1!A$4:R$102,4,FALSE),"",VLOOKUP(A70,Abstract1!A$4:R$102,5,FALSE))</f>
        <v>#N/A</v>
      </c>
      <c r="C70" s="96" t="e">
        <f>VLOOKUP(A70,Abstract1!A$4:R$102,17,FALSE)</f>
        <v>#N/A</v>
      </c>
      <c r="D70" s="109" t="e">
        <f>VLOOKUP(A70,Abstract1!A$4:R$102,12,FALSE)</f>
        <v>#N/A</v>
      </c>
      <c r="E70" s="109" t="e">
        <f>VLOOKUP(A70,Abstract1!A$4:R$102,18,FALSE)</f>
        <v>#N/A</v>
      </c>
      <c r="F70" s="110" t="e">
        <f>VLOOKUP(A70,Abstract1!A$4:R$102,13,FALSE)</f>
        <v>#N/A</v>
      </c>
      <c r="G70" s="110" t="e">
        <f>VLOOKUP(A70,Abstract1!A$4:R$102,11,FALSE)</f>
        <v>#N/A</v>
      </c>
    </row>
    <row r="71" spans="1:7" ht="39.75" customHeight="1" x14ac:dyDescent="0.25">
      <c r="A71" s="99">
        <v>67</v>
      </c>
      <c r="B71" s="100" t="e">
        <f>_xlfn.CONCAT(VLOOKUP(A71,Abstract1!A$4:R$102,4,FALSE),"",VLOOKUP(A71,Abstract1!A$4:R$102,5,FALSE))</f>
        <v>#N/A</v>
      </c>
      <c r="C71" s="96" t="e">
        <f>VLOOKUP(A71,Abstract1!A$4:R$102,17,FALSE)</f>
        <v>#N/A</v>
      </c>
      <c r="D71" s="109" t="e">
        <f>VLOOKUP(A71,Abstract1!A$4:R$102,12,FALSE)</f>
        <v>#N/A</v>
      </c>
      <c r="E71" s="109" t="e">
        <f>VLOOKUP(A71,Abstract1!A$4:R$102,18,FALSE)</f>
        <v>#N/A</v>
      </c>
      <c r="F71" s="110" t="e">
        <f>VLOOKUP(A71,Abstract1!A$4:R$102,13,FALSE)</f>
        <v>#N/A</v>
      </c>
      <c r="G71" s="110" t="e">
        <f>VLOOKUP(A71,Abstract1!A$4:R$102,11,FALSE)</f>
        <v>#N/A</v>
      </c>
    </row>
    <row r="72" spans="1:7" ht="39.75" customHeight="1" x14ac:dyDescent="0.25">
      <c r="A72" s="99">
        <v>68</v>
      </c>
      <c r="B72" s="100" t="e">
        <f>_xlfn.CONCAT(VLOOKUP(A72,Abstract1!A$4:R$102,4,FALSE),"",VLOOKUP(A72,Abstract1!A$4:R$102,5,FALSE))</f>
        <v>#N/A</v>
      </c>
      <c r="C72" s="96" t="e">
        <f>VLOOKUP(A72,Abstract1!A$4:R$102,17,FALSE)</f>
        <v>#N/A</v>
      </c>
      <c r="D72" s="109" t="e">
        <f>VLOOKUP(A72,Abstract1!A$4:R$102,12,FALSE)</f>
        <v>#N/A</v>
      </c>
      <c r="E72" s="109" t="e">
        <f>VLOOKUP(A72,Abstract1!A$4:R$102,18,FALSE)</f>
        <v>#N/A</v>
      </c>
      <c r="F72" s="110" t="e">
        <f>VLOOKUP(A72,Abstract1!A$4:R$102,13,FALSE)</f>
        <v>#N/A</v>
      </c>
      <c r="G72" s="110" t="e">
        <f>VLOOKUP(A72,Abstract1!A$4:R$102,11,FALSE)</f>
        <v>#N/A</v>
      </c>
    </row>
    <row r="73" spans="1:7" ht="39.75" customHeight="1" x14ac:dyDescent="0.25">
      <c r="A73" s="99">
        <v>69</v>
      </c>
      <c r="B73" s="100" t="e">
        <f>_xlfn.CONCAT(VLOOKUP(A73,Abstract1!A$4:R$102,4,FALSE),"",VLOOKUP(A73,Abstract1!A$4:R$102,5,FALSE))</f>
        <v>#N/A</v>
      </c>
      <c r="C73" s="96" t="e">
        <f>VLOOKUP(A73,Abstract1!A$4:R$102,17,FALSE)</f>
        <v>#N/A</v>
      </c>
      <c r="D73" s="109" t="e">
        <f>VLOOKUP(A73,Abstract1!A$4:R$102,12,FALSE)</f>
        <v>#N/A</v>
      </c>
      <c r="E73" s="109" t="e">
        <f>VLOOKUP(A73,Abstract1!A$4:R$102,18,FALSE)</f>
        <v>#N/A</v>
      </c>
      <c r="F73" s="110" t="e">
        <f>VLOOKUP(A73,Abstract1!A$4:R$102,13,FALSE)</f>
        <v>#N/A</v>
      </c>
      <c r="G73" s="110" t="e">
        <f>VLOOKUP(A73,Abstract1!A$4:R$102,11,FALSE)</f>
        <v>#N/A</v>
      </c>
    </row>
    <row r="74" spans="1:7" ht="39.75" customHeight="1" x14ac:dyDescent="0.25">
      <c r="A74" s="99">
        <v>70</v>
      </c>
      <c r="B74" s="100" t="e">
        <f>_xlfn.CONCAT(VLOOKUP(A74,Abstract1!A$4:R$102,4,FALSE),"",VLOOKUP(A74,Abstract1!A$4:R$102,5,FALSE))</f>
        <v>#N/A</v>
      </c>
      <c r="C74" s="96" t="e">
        <f>VLOOKUP(A74,Abstract1!A$4:R$102,17,FALSE)</f>
        <v>#N/A</v>
      </c>
      <c r="D74" s="109" t="e">
        <f>VLOOKUP(A74,Abstract1!A$4:R$102,12,FALSE)</f>
        <v>#N/A</v>
      </c>
      <c r="E74" s="109" t="e">
        <f>VLOOKUP(A74,Abstract1!A$4:R$102,18,FALSE)</f>
        <v>#N/A</v>
      </c>
      <c r="F74" s="110" t="e">
        <f>VLOOKUP(A74,Abstract1!A$4:R$102,13,FALSE)</f>
        <v>#N/A</v>
      </c>
      <c r="G74" s="110" t="e">
        <f>VLOOKUP(A74,Abstract1!A$4:R$102,11,FALSE)</f>
        <v>#N/A</v>
      </c>
    </row>
    <row r="75" spans="1:7" ht="39.75" customHeight="1" x14ac:dyDescent="0.25">
      <c r="A75" s="99">
        <v>71</v>
      </c>
      <c r="B75" s="100" t="e">
        <f>_xlfn.CONCAT(VLOOKUP(A75,Abstract1!A$4:R$102,4,FALSE),"",VLOOKUP(A75,Abstract1!A$4:R$102,5,FALSE))</f>
        <v>#N/A</v>
      </c>
      <c r="C75" s="96" t="e">
        <f>VLOOKUP(A75,Abstract1!A$4:R$102,17,FALSE)</f>
        <v>#N/A</v>
      </c>
      <c r="D75" s="109" t="e">
        <f>VLOOKUP(A75,Abstract1!A$4:R$102,12,FALSE)</f>
        <v>#N/A</v>
      </c>
      <c r="E75" s="109" t="e">
        <f>VLOOKUP(A75,Abstract1!A$4:R$102,18,FALSE)</f>
        <v>#N/A</v>
      </c>
      <c r="F75" s="110" t="e">
        <f>VLOOKUP(A75,Abstract1!A$4:R$102,13,FALSE)</f>
        <v>#N/A</v>
      </c>
      <c r="G75" s="110" t="e">
        <f>VLOOKUP(A75,Abstract1!A$4:R$102,11,FALSE)</f>
        <v>#N/A</v>
      </c>
    </row>
    <row r="76" spans="1:7" ht="39.75" customHeight="1" x14ac:dyDescent="0.25">
      <c r="A76" s="99">
        <v>72</v>
      </c>
      <c r="B76" s="100" t="e">
        <f>_xlfn.CONCAT(VLOOKUP(A76,Abstract1!A$4:R$102,4,FALSE),"",VLOOKUP(A76,Abstract1!A$4:R$102,5,FALSE))</f>
        <v>#N/A</v>
      </c>
      <c r="C76" s="96" t="e">
        <f>VLOOKUP(A76,Abstract1!A$4:R$102,17,FALSE)</f>
        <v>#N/A</v>
      </c>
      <c r="D76" s="109" t="e">
        <f>VLOOKUP(A76,Abstract1!A$4:R$102,12,FALSE)</f>
        <v>#N/A</v>
      </c>
      <c r="E76" s="109" t="e">
        <f>VLOOKUP(A76,Abstract1!A$4:R$102,18,FALSE)</f>
        <v>#N/A</v>
      </c>
      <c r="F76" s="110" t="e">
        <f>VLOOKUP(A76,Abstract1!A$4:R$102,13,FALSE)</f>
        <v>#N/A</v>
      </c>
      <c r="G76" s="110" t="e">
        <f>VLOOKUP(A76,Abstract1!A$4:R$102,11,FALSE)</f>
        <v>#N/A</v>
      </c>
    </row>
    <row r="77" spans="1:7" ht="39.75" customHeight="1" x14ac:dyDescent="0.25">
      <c r="A77" s="99">
        <v>73</v>
      </c>
      <c r="B77" s="100" t="e">
        <f>_xlfn.CONCAT(VLOOKUP(A77,Abstract1!A$4:R$102,4,FALSE),"",VLOOKUP(A77,Abstract1!A$4:R$102,5,FALSE))</f>
        <v>#N/A</v>
      </c>
      <c r="C77" s="96" t="e">
        <f>VLOOKUP(A77,Abstract1!A$4:R$102,17,FALSE)</f>
        <v>#N/A</v>
      </c>
      <c r="D77" s="109" t="e">
        <f>VLOOKUP(A77,Abstract1!A$4:R$102,12,FALSE)</f>
        <v>#N/A</v>
      </c>
      <c r="E77" s="109" t="e">
        <f>VLOOKUP(A77,Abstract1!A$4:R$102,18,FALSE)</f>
        <v>#N/A</v>
      </c>
      <c r="F77" s="110" t="e">
        <f>VLOOKUP(A77,Abstract1!A$4:R$102,13,FALSE)</f>
        <v>#N/A</v>
      </c>
      <c r="G77" s="110" t="e">
        <f>VLOOKUP(A77,Abstract1!A$4:R$102,11,FALSE)</f>
        <v>#N/A</v>
      </c>
    </row>
    <row r="78" spans="1:7" ht="39.75" customHeight="1" x14ac:dyDescent="0.25">
      <c r="A78" s="99">
        <v>74</v>
      </c>
      <c r="B78" s="100" t="e">
        <f>_xlfn.CONCAT(VLOOKUP(A78,Abstract1!A$4:R$102,4,FALSE),"",VLOOKUP(A78,Abstract1!A$4:R$102,5,FALSE))</f>
        <v>#N/A</v>
      </c>
      <c r="C78" s="96" t="e">
        <f>VLOOKUP(A78,Abstract1!A$4:R$102,17,FALSE)</f>
        <v>#N/A</v>
      </c>
      <c r="D78" s="109" t="e">
        <f>VLOOKUP(A78,Abstract1!A$4:R$102,12,FALSE)</f>
        <v>#N/A</v>
      </c>
      <c r="E78" s="109" t="e">
        <f>VLOOKUP(A78,Abstract1!A$4:R$102,18,FALSE)</f>
        <v>#N/A</v>
      </c>
      <c r="F78" s="110" t="e">
        <f>VLOOKUP(A78,Abstract1!A$4:R$102,13,FALSE)</f>
        <v>#N/A</v>
      </c>
      <c r="G78" s="110" t="e">
        <f>VLOOKUP(A78,Abstract1!A$4:R$102,11,FALSE)</f>
        <v>#N/A</v>
      </c>
    </row>
    <row r="79" spans="1:7" ht="39.75" customHeight="1" x14ac:dyDescent="0.25">
      <c r="A79" s="99">
        <v>75</v>
      </c>
      <c r="B79" s="100" t="e">
        <f>_xlfn.CONCAT(VLOOKUP(A79,Abstract1!A$4:R$102,4,FALSE),"",VLOOKUP(A79,Abstract1!A$4:R$102,5,FALSE))</f>
        <v>#N/A</v>
      </c>
      <c r="C79" s="96" t="e">
        <f>VLOOKUP(A79,Abstract1!A$4:R$102,17,FALSE)</f>
        <v>#N/A</v>
      </c>
      <c r="D79" s="109" t="e">
        <f>VLOOKUP(A79,Abstract1!A$4:R$102,12,FALSE)</f>
        <v>#N/A</v>
      </c>
      <c r="E79" s="109" t="e">
        <f>VLOOKUP(A79,Abstract1!A$4:R$102,18,FALSE)</f>
        <v>#N/A</v>
      </c>
      <c r="F79" s="110" t="e">
        <f>VLOOKUP(A79,Abstract1!A$4:R$102,13,FALSE)</f>
        <v>#N/A</v>
      </c>
      <c r="G79" s="110" t="e">
        <f>VLOOKUP(A79,Abstract1!A$4:R$102,11,FALSE)</f>
        <v>#N/A</v>
      </c>
    </row>
    <row r="80" spans="1:7" ht="39.75" customHeight="1" x14ac:dyDescent="0.25">
      <c r="A80" s="99">
        <v>76</v>
      </c>
      <c r="B80" s="100" t="e">
        <f>_xlfn.CONCAT(VLOOKUP(A80,Abstract1!A$4:R$102,4,FALSE),"",VLOOKUP(A80,Abstract1!A$4:R$102,5,FALSE))</f>
        <v>#N/A</v>
      </c>
      <c r="C80" s="96" t="e">
        <f>VLOOKUP(A80,Abstract1!A$4:R$102,17,FALSE)</f>
        <v>#N/A</v>
      </c>
      <c r="D80" s="109" t="e">
        <f>VLOOKUP(A80,Abstract1!A$4:R$102,12,FALSE)</f>
        <v>#N/A</v>
      </c>
      <c r="E80" s="109" t="e">
        <f>VLOOKUP(A80,Abstract1!A$4:R$102,18,FALSE)</f>
        <v>#N/A</v>
      </c>
      <c r="F80" s="110" t="e">
        <f>VLOOKUP(A80,Abstract1!A$4:R$102,13,FALSE)</f>
        <v>#N/A</v>
      </c>
      <c r="G80" s="110" t="e">
        <f>VLOOKUP(A80,Abstract1!A$4:R$102,11,FALSE)</f>
        <v>#N/A</v>
      </c>
    </row>
    <row r="81" spans="1:7" ht="39.75" customHeight="1" x14ac:dyDescent="0.25">
      <c r="A81" s="99">
        <v>77</v>
      </c>
      <c r="B81" s="100" t="e">
        <f>_xlfn.CONCAT(VLOOKUP(A81,Abstract1!A$4:R$102,4,FALSE),"",VLOOKUP(A81,Abstract1!A$4:R$102,5,FALSE))</f>
        <v>#N/A</v>
      </c>
      <c r="C81" s="96" t="e">
        <f>VLOOKUP(A81,Abstract1!A$4:R$102,17,FALSE)</f>
        <v>#N/A</v>
      </c>
      <c r="D81" s="109" t="e">
        <f>VLOOKUP(A81,Abstract1!A$4:R$102,12,FALSE)</f>
        <v>#N/A</v>
      </c>
      <c r="E81" s="109" t="e">
        <f>VLOOKUP(A81,Abstract1!A$4:R$102,18,FALSE)</f>
        <v>#N/A</v>
      </c>
      <c r="F81" s="110" t="e">
        <f>VLOOKUP(A81,Abstract1!A$4:R$102,13,FALSE)</f>
        <v>#N/A</v>
      </c>
      <c r="G81" s="110" t="e">
        <f>VLOOKUP(A81,Abstract1!A$4:R$102,11,FALSE)</f>
        <v>#N/A</v>
      </c>
    </row>
    <row r="82" spans="1:7" ht="39.75" customHeight="1" x14ac:dyDescent="0.25">
      <c r="A82" s="99">
        <v>78</v>
      </c>
      <c r="B82" s="100" t="e">
        <f>_xlfn.CONCAT(VLOOKUP(A82,Abstract1!A$4:R$102,4,FALSE),"",VLOOKUP(A82,Abstract1!A$4:R$102,5,FALSE))</f>
        <v>#N/A</v>
      </c>
      <c r="C82" s="96" t="e">
        <f>VLOOKUP(A82,Abstract1!A$4:R$102,17,FALSE)</f>
        <v>#N/A</v>
      </c>
      <c r="D82" s="109" t="e">
        <f>VLOOKUP(A82,Abstract1!A$4:R$102,12,FALSE)</f>
        <v>#N/A</v>
      </c>
      <c r="E82" s="109" t="e">
        <f>VLOOKUP(A82,Abstract1!A$4:R$102,18,FALSE)</f>
        <v>#N/A</v>
      </c>
      <c r="F82" s="110" t="e">
        <f>VLOOKUP(A82,Abstract1!A$4:R$102,13,FALSE)</f>
        <v>#N/A</v>
      </c>
      <c r="G82" s="110" t="e">
        <f>VLOOKUP(A82,Abstract1!A$4:R$102,11,FALSE)</f>
        <v>#N/A</v>
      </c>
    </row>
    <row r="83" spans="1:7" ht="39.75" customHeight="1" x14ac:dyDescent="0.25">
      <c r="A83" s="99">
        <v>79</v>
      </c>
      <c r="B83" s="100" t="e">
        <f>_xlfn.CONCAT(VLOOKUP(A83,Abstract1!A$4:R$102,4,FALSE),"",VLOOKUP(A83,Abstract1!A$4:R$102,5,FALSE))</f>
        <v>#N/A</v>
      </c>
      <c r="C83" s="96" t="e">
        <f>VLOOKUP(A83,Abstract1!A$4:R$102,17,FALSE)</f>
        <v>#N/A</v>
      </c>
      <c r="D83" s="109" t="e">
        <f>VLOOKUP(A83,Abstract1!A$4:R$102,12,FALSE)</f>
        <v>#N/A</v>
      </c>
      <c r="E83" s="109" t="e">
        <f>VLOOKUP(A83,Abstract1!A$4:R$102,18,FALSE)</f>
        <v>#N/A</v>
      </c>
      <c r="F83" s="110" t="e">
        <f>VLOOKUP(A83,Abstract1!A$4:R$102,13,FALSE)</f>
        <v>#N/A</v>
      </c>
      <c r="G83" s="110" t="e">
        <f>VLOOKUP(A83,Abstract1!A$4:R$102,11,FALSE)</f>
        <v>#N/A</v>
      </c>
    </row>
    <row r="84" spans="1:7" ht="39.75" customHeight="1" x14ac:dyDescent="0.25">
      <c r="A84" s="99">
        <v>80</v>
      </c>
      <c r="B84" s="100" t="e">
        <f>_xlfn.CONCAT(VLOOKUP(A84,Abstract1!A$4:R$102,4,FALSE),"",VLOOKUP(A84,Abstract1!A$4:R$102,5,FALSE))</f>
        <v>#N/A</v>
      </c>
      <c r="C84" s="96" t="e">
        <f>VLOOKUP(A84,Abstract1!A$4:R$102,17,FALSE)</f>
        <v>#N/A</v>
      </c>
      <c r="D84" s="109" t="e">
        <f>VLOOKUP(A84,Abstract1!A$4:R$102,12,FALSE)</f>
        <v>#N/A</v>
      </c>
      <c r="E84" s="109" t="e">
        <f>VLOOKUP(A84,Abstract1!A$4:R$102,18,FALSE)</f>
        <v>#N/A</v>
      </c>
      <c r="F84" s="110" t="e">
        <f>VLOOKUP(A84,Abstract1!A$4:R$102,13,FALSE)</f>
        <v>#N/A</v>
      </c>
      <c r="G84" s="110" t="e">
        <f>VLOOKUP(A84,Abstract1!A$4:R$102,11,FALSE)</f>
        <v>#N/A</v>
      </c>
    </row>
    <row r="85" spans="1:7" ht="39.75" customHeight="1" x14ac:dyDescent="0.25">
      <c r="A85" s="99">
        <v>81</v>
      </c>
      <c r="B85" s="100" t="e">
        <f>_xlfn.CONCAT(VLOOKUP(A85,Abstract1!A$4:R$102,4,FALSE),"",VLOOKUP(A85,Abstract1!A$4:R$102,5,FALSE))</f>
        <v>#N/A</v>
      </c>
      <c r="C85" s="96" t="e">
        <f>VLOOKUP(A85,Abstract1!A$4:R$102,17,FALSE)</f>
        <v>#N/A</v>
      </c>
      <c r="D85" s="109" t="e">
        <f>VLOOKUP(A85,Abstract1!A$4:R$102,12,FALSE)</f>
        <v>#N/A</v>
      </c>
      <c r="E85" s="109" t="e">
        <f>VLOOKUP(A85,Abstract1!A$4:R$102,18,FALSE)</f>
        <v>#N/A</v>
      </c>
      <c r="F85" s="110" t="e">
        <f>VLOOKUP(A85,Abstract1!A$4:R$102,13,FALSE)</f>
        <v>#N/A</v>
      </c>
      <c r="G85" s="110" t="e">
        <f>VLOOKUP(A85,Abstract1!A$4:R$102,11,FALSE)</f>
        <v>#N/A</v>
      </c>
    </row>
    <row r="86" spans="1:7" ht="39.75" customHeight="1" x14ac:dyDescent="0.25">
      <c r="A86" s="99">
        <v>82</v>
      </c>
      <c r="B86" s="100" t="e">
        <f>_xlfn.CONCAT(VLOOKUP(A86,Abstract1!A$4:R$102,4,FALSE),"",VLOOKUP(A86,Abstract1!A$4:R$102,5,FALSE))</f>
        <v>#N/A</v>
      </c>
      <c r="C86" s="96" t="e">
        <f>VLOOKUP(A86,Abstract1!A$4:R$102,17,FALSE)</f>
        <v>#N/A</v>
      </c>
      <c r="D86" s="109" t="e">
        <f>VLOOKUP(A86,Abstract1!A$4:R$102,12,FALSE)</f>
        <v>#N/A</v>
      </c>
      <c r="E86" s="109" t="e">
        <f>VLOOKUP(A86,Abstract1!A$4:R$102,18,FALSE)</f>
        <v>#N/A</v>
      </c>
      <c r="F86" s="110" t="e">
        <f>VLOOKUP(A86,Abstract1!A$4:R$102,13,FALSE)</f>
        <v>#N/A</v>
      </c>
      <c r="G86" s="110" t="e">
        <f>VLOOKUP(A86,Abstract1!A$4:R$102,11,FALSE)</f>
        <v>#N/A</v>
      </c>
    </row>
    <row r="87" spans="1:7" ht="39.75" customHeight="1" x14ac:dyDescent="0.25">
      <c r="A87" s="99">
        <v>83</v>
      </c>
      <c r="B87" s="100" t="e">
        <f>_xlfn.CONCAT(VLOOKUP(A87,Abstract1!A$4:R$102,4,FALSE),"",VLOOKUP(A87,Abstract1!A$4:R$102,5,FALSE))</f>
        <v>#N/A</v>
      </c>
      <c r="C87" s="96" t="e">
        <f>VLOOKUP(A87,Abstract1!A$4:R$102,17,FALSE)</f>
        <v>#N/A</v>
      </c>
      <c r="D87" s="109" t="e">
        <f>VLOOKUP(A87,Abstract1!A$4:R$102,12,FALSE)</f>
        <v>#N/A</v>
      </c>
      <c r="E87" s="109" t="e">
        <f>VLOOKUP(A87,Abstract1!A$4:R$102,18,FALSE)</f>
        <v>#N/A</v>
      </c>
      <c r="F87" s="110" t="e">
        <f>VLOOKUP(A87,Abstract1!A$4:R$102,13,FALSE)</f>
        <v>#N/A</v>
      </c>
      <c r="G87" s="110" t="e">
        <f>VLOOKUP(A87,Abstract1!A$4:R$102,11,FALSE)</f>
        <v>#N/A</v>
      </c>
    </row>
    <row r="88" spans="1:7" ht="39.75" customHeight="1" x14ac:dyDescent="0.25">
      <c r="A88" s="99">
        <v>84</v>
      </c>
      <c r="B88" s="100" t="e">
        <f>_xlfn.CONCAT(VLOOKUP(A88,Abstract1!A$4:R$102,4,FALSE),"",VLOOKUP(A88,Abstract1!A$4:R$102,5,FALSE))</f>
        <v>#N/A</v>
      </c>
      <c r="C88" s="96" t="e">
        <f>VLOOKUP(A88,Abstract1!A$4:R$102,17,FALSE)</f>
        <v>#N/A</v>
      </c>
      <c r="D88" s="109" t="e">
        <f>VLOOKUP(A88,Abstract1!A$4:R$102,12,FALSE)</f>
        <v>#N/A</v>
      </c>
      <c r="E88" s="109" t="e">
        <f>VLOOKUP(A88,Abstract1!A$4:R$102,18,FALSE)</f>
        <v>#N/A</v>
      </c>
      <c r="F88" s="110" t="e">
        <f>VLOOKUP(A88,Abstract1!A$4:R$102,13,FALSE)</f>
        <v>#N/A</v>
      </c>
      <c r="G88" s="110" t="e">
        <f>VLOOKUP(A88,Abstract1!A$4:R$102,11,FALSE)</f>
        <v>#N/A</v>
      </c>
    </row>
    <row r="89" spans="1:7" ht="39.75" customHeight="1" x14ac:dyDescent="0.25">
      <c r="A89" s="99">
        <v>85</v>
      </c>
      <c r="B89" s="100" t="e">
        <f>_xlfn.CONCAT(VLOOKUP(A89,Abstract1!A$4:R$102,4,FALSE),"",VLOOKUP(A89,Abstract1!A$4:R$102,5,FALSE))</f>
        <v>#N/A</v>
      </c>
      <c r="C89" s="96" t="e">
        <f>VLOOKUP(A89,Abstract1!A$4:R$102,17,FALSE)</f>
        <v>#N/A</v>
      </c>
      <c r="D89" s="109" t="e">
        <f>VLOOKUP(A89,Abstract1!A$4:R$102,12,FALSE)</f>
        <v>#N/A</v>
      </c>
      <c r="E89" s="109" t="e">
        <f>VLOOKUP(A89,Abstract1!A$4:R$102,18,FALSE)</f>
        <v>#N/A</v>
      </c>
      <c r="F89" s="110" t="e">
        <f>VLOOKUP(A89,Abstract1!A$4:R$102,13,FALSE)</f>
        <v>#N/A</v>
      </c>
      <c r="G89" s="110" t="e">
        <f>VLOOKUP(A89,Abstract1!A$4:R$102,11,FALSE)</f>
        <v>#N/A</v>
      </c>
    </row>
    <row r="90" spans="1:7" ht="39.75" customHeight="1" x14ac:dyDescent="0.25">
      <c r="A90" s="99">
        <v>86</v>
      </c>
      <c r="B90" s="100" t="e">
        <f>_xlfn.CONCAT(VLOOKUP(A90,Abstract1!A$4:R$102,4,FALSE),"",VLOOKUP(A90,Abstract1!A$4:R$102,5,FALSE))</f>
        <v>#N/A</v>
      </c>
      <c r="C90" s="96" t="e">
        <f>VLOOKUP(A90,Abstract1!A$4:R$102,17,FALSE)</f>
        <v>#N/A</v>
      </c>
      <c r="D90" s="109" t="e">
        <f>VLOOKUP(A90,Abstract1!A$4:R$102,12,FALSE)</f>
        <v>#N/A</v>
      </c>
      <c r="E90" s="109" t="e">
        <f>VLOOKUP(A90,Abstract1!A$4:R$102,18,FALSE)</f>
        <v>#N/A</v>
      </c>
      <c r="F90" s="110" t="e">
        <f>VLOOKUP(A90,Abstract1!A$4:R$102,13,FALSE)</f>
        <v>#N/A</v>
      </c>
      <c r="G90" s="110" t="e">
        <f>VLOOKUP(A90,Abstract1!A$4:R$102,11,FALSE)</f>
        <v>#N/A</v>
      </c>
    </row>
    <row r="91" spans="1:7" ht="39.75" customHeight="1" x14ac:dyDescent="0.25">
      <c r="A91" s="99">
        <v>87</v>
      </c>
      <c r="B91" s="100" t="e">
        <f>_xlfn.CONCAT(VLOOKUP(A91,Abstract1!A$4:R$102,4,FALSE),"",VLOOKUP(A91,Abstract1!A$4:R$102,5,FALSE))</f>
        <v>#N/A</v>
      </c>
      <c r="C91" s="96" t="e">
        <f>VLOOKUP(A91,Abstract1!A$4:R$102,17,FALSE)</f>
        <v>#N/A</v>
      </c>
      <c r="D91" s="109" t="e">
        <f>VLOOKUP(A91,Abstract1!A$4:R$102,12,FALSE)</f>
        <v>#N/A</v>
      </c>
      <c r="E91" s="109" t="e">
        <f>VLOOKUP(A91,Abstract1!A$4:R$102,18,FALSE)</f>
        <v>#N/A</v>
      </c>
      <c r="F91" s="110" t="e">
        <f>VLOOKUP(A91,Abstract1!A$4:R$102,13,FALSE)</f>
        <v>#N/A</v>
      </c>
      <c r="G91" s="110" t="e">
        <f>VLOOKUP(A91,Abstract1!A$4:R$102,11,FALSE)</f>
        <v>#N/A</v>
      </c>
    </row>
    <row r="92" spans="1:7" ht="39.75" customHeight="1" x14ac:dyDescent="0.25">
      <c r="A92" s="99">
        <v>88</v>
      </c>
      <c r="B92" s="100" t="e">
        <f>_xlfn.CONCAT(VLOOKUP(A92,Abstract1!A$4:R$102,4,FALSE),"",VLOOKUP(A92,Abstract1!A$4:R$102,5,FALSE))</f>
        <v>#N/A</v>
      </c>
      <c r="C92" s="96" t="e">
        <f>VLOOKUP(A92,Abstract1!A$4:R$102,17,FALSE)</f>
        <v>#N/A</v>
      </c>
      <c r="D92" s="109" t="e">
        <f>VLOOKUP(A92,Abstract1!A$4:R$102,12,FALSE)</f>
        <v>#N/A</v>
      </c>
      <c r="E92" s="109" t="e">
        <f>VLOOKUP(A92,Abstract1!A$4:R$102,18,FALSE)</f>
        <v>#N/A</v>
      </c>
      <c r="F92" s="110" t="e">
        <f>VLOOKUP(A92,Abstract1!A$4:R$102,13,FALSE)</f>
        <v>#N/A</v>
      </c>
      <c r="G92" s="110" t="e">
        <f>VLOOKUP(A92,Abstract1!A$4:R$102,11,FALSE)</f>
        <v>#N/A</v>
      </c>
    </row>
    <row r="93" spans="1:7" ht="39.75" customHeight="1" x14ac:dyDescent="0.25">
      <c r="A93" s="99">
        <v>89</v>
      </c>
      <c r="B93" s="100" t="e">
        <f>_xlfn.CONCAT(VLOOKUP(A93,Abstract1!A$4:R$102,4,FALSE),"",VLOOKUP(A93,Abstract1!A$4:R$102,5,FALSE))</f>
        <v>#N/A</v>
      </c>
      <c r="C93" s="96" t="e">
        <f>VLOOKUP(A93,Abstract1!A$4:R$102,17,FALSE)</f>
        <v>#N/A</v>
      </c>
      <c r="D93" s="109" t="e">
        <f>VLOOKUP(A93,Abstract1!A$4:R$102,12,FALSE)</f>
        <v>#N/A</v>
      </c>
      <c r="E93" s="109" t="e">
        <f>VLOOKUP(A93,Abstract1!A$4:R$102,18,FALSE)</f>
        <v>#N/A</v>
      </c>
      <c r="F93" s="110" t="e">
        <f>VLOOKUP(A93,Abstract1!A$4:R$102,13,FALSE)</f>
        <v>#N/A</v>
      </c>
      <c r="G93" s="110" t="e">
        <f>VLOOKUP(A93,Abstract1!A$4:R$102,11,FALSE)</f>
        <v>#N/A</v>
      </c>
    </row>
    <row r="94" spans="1:7" ht="39.75" customHeight="1" x14ac:dyDescent="0.25">
      <c r="A94" s="99">
        <v>90</v>
      </c>
      <c r="B94" s="100" t="e">
        <f>_xlfn.CONCAT(VLOOKUP(A94,Abstract1!A$4:R$102,4,FALSE),"",VLOOKUP(A94,Abstract1!A$4:R$102,5,FALSE))</f>
        <v>#N/A</v>
      </c>
      <c r="C94" s="96" t="e">
        <f>VLOOKUP(A94,Abstract1!A$4:R$102,17,FALSE)</f>
        <v>#N/A</v>
      </c>
      <c r="D94" s="109" t="e">
        <f>VLOOKUP(A94,Abstract1!A$4:R$102,12,FALSE)</f>
        <v>#N/A</v>
      </c>
      <c r="E94" s="109" t="e">
        <f>VLOOKUP(A94,Abstract1!A$4:R$102,18,FALSE)</f>
        <v>#N/A</v>
      </c>
      <c r="F94" s="110" t="e">
        <f>VLOOKUP(A94,Abstract1!A$4:R$102,13,FALSE)</f>
        <v>#N/A</v>
      </c>
      <c r="G94" s="110" t="e">
        <f>VLOOKUP(A94,Abstract1!A$4:R$102,11,FALSE)</f>
        <v>#N/A</v>
      </c>
    </row>
    <row r="95" spans="1:7" ht="39.75" customHeight="1" x14ac:dyDescent="0.25">
      <c r="A95" s="99">
        <v>91</v>
      </c>
      <c r="B95" s="100" t="e">
        <f>_xlfn.CONCAT(VLOOKUP(A95,Abstract1!A$4:R$102,4,FALSE),"",VLOOKUP(A95,Abstract1!A$4:R$102,5,FALSE))</f>
        <v>#N/A</v>
      </c>
      <c r="C95" s="96" t="e">
        <f>VLOOKUP(A95,Abstract1!A$4:R$102,17,FALSE)</f>
        <v>#N/A</v>
      </c>
      <c r="D95" s="109" t="e">
        <f>VLOOKUP(A95,Abstract1!A$4:R$102,12,FALSE)</f>
        <v>#N/A</v>
      </c>
      <c r="E95" s="109" t="e">
        <f>VLOOKUP(A95,Abstract1!A$4:R$102,18,FALSE)</f>
        <v>#N/A</v>
      </c>
      <c r="F95" s="110" t="e">
        <f>VLOOKUP(A95,Abstract1!A$4:R$102,13,FALSE)</f>
        <v>#N/A</v>
      </c>
      <c r="G95" s="110" t="e">
        <f>VLOOKUP(A95,Abstract1!A$4:R$102,11,FALSE)</f>
        <v>#N/A</v>
      </c>
    </row>
    <row r="96" spans="1:7" ht="39.75" customHeight="1" x14ac:dyDescent="0.25">
      <c r="A96" s="99">
        <v>92</v>
      </c>
      <c r="B96" s="100" t="e">
        <f>_xlfn.CONCAT(VLOOKUP(A96,Abstract1!A$4:R$102,4,FALSE),"",VLOOKUP(A96,Abstract1!A$4:R$102,5,FALSE))</f>
        <v>#N/A</v>
      </c>
      <c r="C96" s="96" t="e">
        <f>VLOOKUP(A96,Abstract1!A$4:R$102,17,FALSE)</f>
        <v>#N/A</v>
      </c>
      <c r="D96" s="109" t="e">
        <f>VLOOKUP(A96,Abstract1!A$4:R$102,12,FALSE)</f>
        <v>#N/A</v>
      </c>
      <c r="E96" s="109" t="e">
        <f>VLOOKUP(A96,Abstract1!A$4:R$102,18,FALSE)</f>
        <v>#N/A</v>
      </c>
      <c r="F96" s="110" t="e">
        <f>VLOOKUP(A96,Abstract1!A$4:R$102,13,FALSE)</f>
        <v>#N/A</v>
      </c>
      <c r="G96" s="110" t="e">
        <f>VLOOKUP(A96,Abstract1!A$4:R$102,11,FALSE)</f>
        <v>#N/A</v>
      </c>
    </row>
    <row r="97" spans="1:7" ht="39.75" customHeight="1" x14ac:dyDescent="0.25">
      <c r="A97" s="99">
        <v>93</v>
      </c>
      <c r="B97" s="100" t="e">
        <f>_xlfn.CONCAT(VLOOKUP(A97,Abstract1!A$4:R$102,4,FALSE),"",VLOOKUP(A97,Abstract1!A$4:R$102,5,FALSE))</f>
        <v>#N/A</v>
      </c>
      <c r="C97" s="96" t="e">
        <f>VLOOKUP(A97,Abstract1!A$4:R$102,17,FALSE)</f>
        <v>#N/A</v>
      </c>
      <c r="D97" s="109" t="e">
        <f>VLOOKUP(A97,Abstract1!A$4:R$102,12,FALSE)</f>
        <v>#N/A</v>
      </c>
      <c r="E97" s="109" t="e">
        <f>VLOOKUP(A97,Abstract1!A$4:R$102,18,FALSE)</f>
        <v>#N/A</v>
      </c>
      <c r="F97" s="110" t="e">
        <f>VLOOKUP(A97,Abstract1!A$4:R$102,13,FALSE)</f>
        <v>#N/A</v>
      </c>
      <c r="G97" s="110" t="e">
        <f>VLOOKUP(A97,Abstract1!A$4:R$102,11,FALSE)</f>
        <v>#N/A</v>
      </c>
    </row>
    <row r="98" spans="1:7" ht="39.75" customHeight="1" x14ac:dyDescent="0.25">
      <c r="A98" s="99">
        <v>94</v>
      </c>
      <c r="B98" s="100" t="e">
        <f>_xlfn.CONCAT(VLOOKUP(A98,Abstract1!A$4:R$102,4,FALSE),"",VLOOKUP(A98,Abstract1!A$4:R$102,5,FALSE))</f>
        <v>#N/A</v>
      </c>
      <c r="C98" s="96" t="e">
        <f>VLOOKUP(A98,Abstract1!A$4:R$102,17,FALSE)</f>
        <v>#N/A</v>
      </c>
      <c r="D98" s="109" t="e">
        <f>VLOOKUP(A98,Abstract1!A$4:R$102,12,FALSE)</f>
        <v>#N/A</v>
      </c>
      <c r="E98" s="109" t="e">
        <f>VLOOKUP(A98,Abstract1!A$4:R$102,18,FALSE)</f>
        <v>#N/A</v>
      </c>
      <c r="F98" s="110" t="e">
        <f>VLOOKUP(A98,Abstract1!A$4:R$102,13,FALSE)</f>
        <v>#N/A</v>
      </c>
      <c r="G98" s="110" t="e">
        <f>VLOOKUP(A98,Abstract1!A$4:R$102,11,FALSE)</f>
        <v>#N/A</v>
      </c>
    </row>
    <row r="99" spans="1:7" ht="39.75" customHeight="1" x14ac:dyDescent="0.25">
      <c r="A99" s="99">
        <v>95</v>
      </c>
      <c r="B99" s="100" t="e">
        <f>_xlfn.CONCAT(VLOOKUP(A99,Abstract1!A$4:R$102,4,FALSE),"",VLOOKUP(A99,Abstract1!A$4:R$102,5,FALSE))</f>
        <v>#N/A</v>
      </c>
      <c r="C99" s="96" t="e">
        <f>VLOOKUP(A99,Abstract1!A$4:R$102,17,FALSE)</f>
        <v>#N/A</v>
      </c>
      <c r="D99" s="109" t="e">
        <f>VLOOKUP(A99,Abstract1!A$4:R$102,12,FALSE)</f>
        <v>#N/A</v>
      </c>
      <c r="E99" s="109" t="e">
        <f>VLOOKUP(A99,Abstract1!A$4:R$102,18,FALSE)</f>
        <v>#N/A</v>
      </c>
      <c r="F99" s="110" t="e">
        <f>VLOOKUP(A99,Abstract1!A$4:R$102,13,FALSE)</f>
        <v>#N/A</v>
      </c>
      <c r="G99" s="110" t="e">
        <f>VLOOKUP(A99,Abstract1!A$4:R$102,11,FALSE)</f>
        <v>#N/A</v>
      </c>
    </row>
    <row r="100" spans="1:7" ht="39.75" customHeight="1" x14ac:dyDescent="0.25">
      <c r="A100" s="99">
        <v>96</v>
      </c>
      <c r="B100" s="100" t="e">
        <f>_xlfn.CONCAT(VLOOKUP(A100,Abstract1!A$4:R$102,4,FALSE),"",VLOOKUP(A100,Abstract1!A$4:R$102,5,FALSE))</f>
        <v>#N/A</v>
      </c>
      <c r="C100" s="96" t="e">
        <f>VLOOKUP(A100,Abstract1!A$4:R$102,17,FALSE)</f>
        <v>#N/A</v>
      </c>
      <c r="D100" s="109" t="e">
        <f>VLOOKUP(A100,Abstract1!A$4:R$102,12,FALSE)</f>
        <v>#N/A</v>
      </c>
      <c r="E100" s="109" t="e">
        <f>VLOOKUP(A100,Abstract1!A$4:R$102,18,FALSE)</f>
        <v>#N/A</v>
      </c>
      <c r="F100" s="110" t="e">
        <f>VLOOKUP(A100,Abstract1!A$4:R$102,13,FALSE)</f>
        <v>#N/A</v>
      </c>
      <c r="G100" s="110" t="e">
        <f>VLOOKUP(A100,Abstract1!A$4:R$102,11,FALSE)</f>
        <v>#N/A</v>
      </c>
    </row>
    <row r="101" spans="1:7" ht="39.75" customHeight="1" x14ac:dyDescent="0.25">
      <c r="A101" s="99">
        <v>97</v>
      </c>
      <c r="B101" s="100" t="e">
        <f>_xlfn.CONCAT(VLOOKUP(A101,Abstract1!A$4:R$102,4,FALSE),"",VLOOKUP(A101,Abstract1!A$4:R$102,5,FALSE))</f>
        <v>#N/A</v>
      </c>
      <c r="C101" s="96" t="e">
        <f>VLOOKUP(A101,Abstract1!A$4:R$102,17,FALSE)</f>
        <v>#N/A</v>
      </c>
      <c r="D101" s="109" t="e">
        <f>VLOOKUP(A101,Abstract1!A$4:R$102,12,FALSE)</f>
        <v>#N/A</v>
      </c>
      <c r="E101" s="109" t="e">
        <f>VLOOKUP(A101,Abstract1!A$4:R$102,18,FALSE)</f>
        <v>#N/A</v>
      </c>
      <c r="F101" s="110" t="e">
        <f>VLOOKUP(A101,Abstract1!A$4:R$102,13,FALSE)</f>
        <v>#N/A</v>
      </c>
      <c r="G101" s="110" t="e">
        <f>VLOOKUP(A101,Abstract1!A$4:R$102,11,FALSE)</f>
        <v>#N/A</v>
      </c>
    </row>
    <row r="102" spans="1:7" ht="39.75" customHeight="1" x14ac:dyDescent="0.25">
      <c r="A102" s="99">
        <v>98</v>
      </c>
      <c r="B102" s="100" t="e">
        <f>_xlfn.CONCAT(VLOOKUP(A102,Abstract1!A$4:R$102,4,FALSE),"",VLOOKUP(A102,Abstract1!A$4:R$102,5,FALSE))</f>
        <v>#N/A</v>
      </c>
      <c r="C102" s="96" t="e">
        <f>VLOOKUP(A102,Abstract1!A$4:R$102,17,FALSE)</f>
        <v>#N/A</v>
      </c>
      <c r="D102" s="109" t="e">
        <f>VLOOKUP(A102,Abstract1!A$4:R$102,12,FALSE)</f>
        <v>#N/A</v>
      </c>
      <c r="E102" s="109" t="e">
        <f>VLOOKUP(A102,Abstract1!A$4:R$102,18,FALSE)</f>
        <v>#N/A</v>
      </c>
      <c r="F102" s="110" t="e">
        <f>VLOOKUP(A102,Abstract1!A$4:R$102,13,FALSE)</f>
        <v>#N/A</v>
      </c>
      <c r="G102" s="110" t="e">
        <f>VLOOKUP(A102,Abstract1!A$4:R$102,11,FALSE)</f>
        <v>#N/A</v>
      </c>
    </row>
    <row r="103" spans="1:7" ht="39.75" customHeight="1" x14ac:dyDescent="0.25">
      <c r="A103" s="99">
        <v>99</v>
      </c>
      <c r="B103" s="100" t="e">
        <f>_xlfn.CONCAT(VLOOKUP(A103,Abstract1!A$4:R$102,4,FALSE),"",VLOOKUP(A103,Abstract1!A$4:R$102,5,FALSE))</f>
        <v>#N/A</v>
      </c>
      <c r="C103" s="96" t="e">
        <f>VLOOKUP(A103,Abstract1!A$4:R$102,17,FALSE)</f>
        <v>#N/A</v>
      </c>
      <c r="D103" s="109" t="e">
        <f>VLOOKUP(A103,Abstract1!A$4:R$102,12,FALSE)</f>
        <v>#N/A</v>
      </c>
      <c r="E103" s="109" t="e">
        <f>VLOOKUP(A103,Abstract1!A$4:R$102,18,FALSE)</f>
        <v>#N/A</v>
      </c>
      <c r="F103" s="110" t="e">
        <f>VLOOKUP(A103,Abstract1!A$4:R$102,13,FALSE)</f>
        <v>#N/A</v>
      </c>
      <c r="G103" s="110" t="e">
        <f>VLOOKUP(A103,Abstract1!A$4:R$102,11,FALSE)</f>
        <v>#N/A</v>
      </c>
    </row>
    <row r="104" spans="1:7" ht="39.75" customHeight="1" x14ac:dyDescent="0.25">
      <c r="A104" s="99">
        <v>100</v>
      </c>
      <c r="B104" s="100" t="e">
        <f>_xlfn.CONCAT(VLOOKUP(A104,Abstract1!A$4:R$102,4,FALSE),"",VLOOKUP(A104,Abstract1!A$4:R$102,5,FALSE))</f>
        <v>#N/A</v>
      </c>
      <c r="C104" s="96" t="e">
        <f>VLOOKUP(A104,Abstract1!A$4:R$102,17,FALSE)</f>
        <v>#N/A</v>
      </c>
      <c r="D104" s="109" t="e">
        <f>VLOOKUP(A104,Abstract1!A$4:R$102,12,FALSE)</f>
        <v>#N/A</v>
      </c>
      <c r="E104" s="109" t="e">
        <f>VLOOKUP(A104,Abstract1!A$4:R$102,18,FALSE)</f>
        <v>#N/A</v>
      </c>
      <c r="F104" s="110" t="e">
        <f>VLOOKUP(A104,Abstract1!A$4:R$102,13,FALSE)</f>
        <v>#N/A</v>
      </c>
      <c r="G104" s="110" t="e">
        <f>VLOOKUP(A104,Abstract1!A$4:R$102,11,FALSE)</f>
        <v>#N/A</v>
      </c>
    </row>
    <row r="105" spans="1:7" ht="39.75" customHeight="1" x14ac:dyDescent="0.25">
      <c r="A105" s="99">
        <v>101</v>
      </c>
      <c r="B105" s="100" t="e">
        <f>_xlfn.CONCAT(VLOOKUP(A105,Abstract1!A$4:R$102,4,FALSE),"",VLOOKUP(A105,Abstract1!A$4:R$102,5,FALSE))</f>
        <v>#N/A</v>
      </c>
      <c r="C105" s="96" t="e">
        <f>VLOOKUP(A105,Abstract1!A$4:R$102,17,FALSE)</f>
        <v>#N/A</v>
      </c>
      <c r="D105" s="109" t="e">
        <f>VLOOKUP(A105,Abstract1!A$4:R$102,12,FALSE)</f>
        <v>#N/A</v>
      </c>
      <c r="E105" s="109" t="e">
        <f>VLOOKUP(A105,Abstract1!A$4:R$102,18,FALSE)</f>
        <v>#N/A</v>
      </c>
      <c r="F105" s="110" t="e">
        <f>VLOOKUP(A105,Abstract1!A$4:R$102,13,FALSE)</f>
        <v>#N/A</v>
      </c>
      <c r="G105" s="110" t="e">
        <f>VLOOKUP(A105,Abstract1!A$4:R$102,11,FALSE)</f>
        <v>#N/A</v>
      </c>
    </row>
    <row r="106" spans="1:7" ht="39.75" customHeight="1" x14ac:dyDescent="0.25">
      <c r="A106" s="99">
        <v>102</v>
      </c>
      <c r="B106" s="100" t="e">
        <f>_xlfn.CONCAT(VLOOKUP(A106,Abstract1!A$4:R$102,4,FALSE),"",VLOOKUP(A106,Abstract1!A$4:R$102,5,FALSE))</f>
        <v>#N/A</v>
      </c>
      <c r="C106" s="96" t="e">
        <f>VLOOKUP(A106,Abstract1!A$4:R$102,17,FALSE)</f>
        <v>#N/A</v>
      </c>
      <c r="D106" s="109" t="e">
        <f>VLOOKUP(A106,Abstract1!A$4:R$102,12,FALSE)</f>
        <v>#N/A</v>
      </c>
      <c r="E106" s="109" t="e">
        <f>VLOOKUP(A106,Abstract1!A$4:R$102,18,FALSE)</f>
        <v>#N/A</v>
      </c>
      <c r="F106" s="110" t="e">
        <f>VLOOKUP(A106,Abstract1!A$4:R$102,13,FALSE)</f>
        <v>#N/A</v>
      </c>
      <c r="G106" s="110" t="e">
        <f>VLOOKUP(A106,Abstract1!A$4:R$102,11,FALSE)</f>
        <v>#N/A</v>
      </c>
    </row>
    <row r="107" spans="1:7" ht="39.75" customHeight="1" x14ac:dyDescent="0.25">
      <c r="A107" s="99">
        <v>103</v>
      </c>
      <c r="B107" s="100" t="e">
        <f>_xlfn.CONCAT(VLOOKUP(A107,Abstract1!A$4:R$102,4,FALSE),"",VLOOKUP(A107,Abstract1!A$4:R$102,5,FALSE))</f>
        <v>#N/A</v>
      </c>
      <c r="C107" s="96" t="e">
        <f>VLOOKUP(A107,Abstract1!A$4:R$102,17,FALSE)</f>
        <v>#N/A</v>
      </c>
      <c r="D107" s="109" t="e">
        <f>VLOOKUP(A107,Abstract1!A$4:R$102,12,FALSE)</f>
        <v>#N/A</v>
      </c>
      <c r="E107" s="109" t="e">
        <f>VLOOKUP(A107,Abstract1!A$4:R$102,18,FALSE)</f>
        <v>#N/A</v>
      </c>
      <c r="F107" s="110" t="e">
        <f>VLOOKUP(A107,Abstract1!A$4:R$102,13,FALSE)</f>
        <v>#N/A</v>
      </c>
      <c r="G107" s="110" t="e">
        <f>VLOOKUP(A107,Abstract1!A$4:R$102,11,FALSE)</f>
        <v>#N/A</v>
      </c>
    </row>
    <row r="108" spans="1:7" ht="39.75" customHeight="1" x14ac:dyDescent="0.25">
      <c r="A108" s="99">
        <v>104</v>
      </c>
      <c r="B108" s="100" t="e">
        <f>_xlfn.CONCAT(VLOOKUP(A108,Abstract1!A$4:R$102,4,FALSE),"",VLOOKUP(A108,Abstract1!A$4:R$102,5,FALSE))</f>
        <v>#N/A</v>
      </c>
      <c r="C108" s="96" t="e">
        <f>VLOOKUP(A108,Abstract1!A$4:R$102,17,FALSE)</f>
        <v>#N/A</v>
      </c>
      <c r="D108" s="109" t="e">
        <f>VLOOKUP(A108,Abstract1!A$4:R$102,12,FALSE)</f>
        <v>#N/A</v>
      </c>
      <c r="E108" s="109" t="e">
        <f>VLOOKUP(A108,Abstract1!A$4:R$102,18,FALSE)</f>
        <v>#N/A</v>
      </c>
      <c r="F108" s="110" t="e">
        <f>VLOOKUP(A108,Abstract1!A$4:R$102,13,FALSE)</f>
        <v>#N/A</v>
      </c>
      <c r="G108" s="110" t="e">
        <f>VLOOKUP(A108,Abstract1!A$4:R$102,11,FALSE)</f>
        <v>#N/A</v>
      </c>
    </row>
    <row r="109" spans="1:7" ht="39.75" customHeight="1" x14ac:dyDescent="0.25">
      <c r="A109" s="99">
        <v>105</v>
      </c>
      <c r="B109" s="100" t="e">
        <f>_xlfn.CONCAT(VLOOKUP(A109,Abstract1!A$4:R$102,4,FALSE),"",VLOOKUP(A109,Abstract1!A$4:R$102,5,FALSE))</f>
        <v>#N/A</v>
      </c>
      <c r="C109" s="96" t="e">
        <f>VLOOKUP(A109,Abstract1!A$4:R$102,17,FALSE)</f>
        <v>#N/A</v>
      </c>
      <c r="D109" s="109" t="e">
        <f>VLOOKUP(A109,Abstract1!A$4:R$102,12,FALSE)</f>
        <v>#N/A</v>
      </c>
      <c r="E109" s="109" t="e">
        <f>VLOOKUP(A109,Abstract1!A$4:R$102,18,FALSE)</f>
        <v>#N/A</v>
      </c>
      <c r="F109" s="110" t="e">
        <f>VLOOKUP(A109,Abstract1!A$4:R$102,13,FALSE)</f>
        <v>#N/A</v>
      </c>
      <c r="G109" s="110" t="e">
        <f>VLOOKUP(A109,Abstract1!A$4:R$102,11,FALSE)</f>
        <v>#N/A</v>
      </c>
    </row>
    <row r="110" spans="1:7" ht="39.75" customHeight="1" x14ac:dyDescent="0.25">
      <c r="A110" s="99">
        <v>106</v>
      </c>
      <c r="B110" s="100" t="e">
        <f>_xlfn.CONCAT(VLOOKUP(A110,Abstract1!A$4:R$102,4,FALSE),"",VLOOKUP(A110,Abstract1!A$4:R$102,5,FALSE))</f>
        <v>#N/A</v>
      </c>
      <c r="C110" s="96" t="e">
        <f>VLOOKUP(A110,Abstract1!A$4:R$102,17,FALSE)</f>
        <v>#N/A</v>
      </c>
      <c r="D110" s="109" t="e">
        <f>VLOOKUP(A110,Abstract1!A$4:R$102,12,FALSE)</f>
        <v>#N/A</v>
      </c>
      <c r="E110" s="109" t="e">
        <f>VLOOKUP(A110,Abstract1!A$4:R$102,18,FALSE)</f>
        <v>#N/A</v>
      </c>
      <c r="F110" s="110" t="e">
        <f>VLOOKUP(A110,Abstract1!A$4:R$102,13,FALSE)</f>
        <v>#N/A</v>
      </c>
      <c r="G110" s="110" t="e">
        <f>VLOOKUP(A110,Abstract1!A$4:R$102,11,FALSE)</f>
        <v>#N/A</v>
      </c>
    </row>
    <row r="111" spans="1:7" ht="39.75" customHeight="1" x14ac:dyDescent="0.25">
      <c r="A111" s="99">
        <v>107</v>
      </c>
      <c r="B111" s="100" t="e">
        <f>_xlfn.CONCAT(VLOOKUP(A111,Abstract1!A$4:R$102,4,FALSE),"",VLOOKUP(A111,Abstract1!A$4:R$102,5,FALSE))</f>
        <v>#N/A</v>
      </c>
      <c r="C111" s="96" t="e">
        <f>VLOOKUP(A111,Abstract1!A$4:R$102,17,FALSE)</f>
        <v>#N/A</v>
      </c>
      <c r="D111" s="109" t="e">
        <f>VLOOKUP(A111,Abstract1!A$4:R$102,12,FALSE)</f>
        <v>#N/A</v>
      </c>
      <c r="E111" s="109" t="e">
        <f>VLOOKUP(A111,Abstract1!A$4:R$102,18,FALSE)</f>
        <v>#N/A</v>
      </c>
      <c r="F111" s="110" t="e">
        <f>VLOOKUP(A111,Abstract1!A$4:R$102,13,FALSE)</f>
        <v>#N/A</v>
      </c>
      <c r="G111" s="110" t="e">
        <f>VLOOKUP(A111,Abstract1!A$4:R$102,11,FALSE)</f>
        <v>#N/A</v>
      </c>
    </row>
    <row r="112" spans="1:7" ht="39.75" customHeight="1" x14ac:dyDescent="0.25">
      <c r="A112" s="99">
        <v>108</v>
      </c>
      <c r="B112" s="100" t="e">
        <f>_xlfn.CONCAT(VLOOKUP(A112,Abstract1!A$4:R$102,4,FALSE),"",VLOOKUP(A112,Abstract1!A$4:R$102,5,FALSE))</f>
        <v>#N/A</v>
      </c>
      <c r="C112" s="96" t="e">
        <f>VLOOKUP(A112,Abstract1!A$4:R$102,17,FALSE)</f>
        <v>#N/A</v>
      </c>
      <c r="D112" s="109" t="e">
        <f>VLOOKUP(A112,Abstract1!A$4:R$102,12,FALSE)</f>
        <v>#N/A</v>
      </c>
      <c r="E112" s="109" t="e">
        <f>VLOOKUP(A112,Abstract1!A$4:R$102,18,FALSE)</f>
        <v>#N/A</v>
      </c>
      <c r="F112" s="110" t="e">
        <f>VLOOKUP(A112,Abstract1!A$4:R$102,13,FALSE)</f>
        <v>#N/A</v>
      </c>
      <c r="G112" s="110" t="e">
        <f>VLOOKUP(A112,Abstract1!A$4:R$102,11,FALSE)</f>
        <v>#N/A</v>
      </c>
    </row>
    <row r="113" spans="1:7" ht="39.75" customHeight="1" x14ac:dyDescent="0.25">
      <c r="A113" s="99">
        <v>109</v>
      </c>
      <c r="B113" s="100" t="e">
        <f>_xlfn.CONCAT(VLOOKUP(A113,Abstract1!A$4:R$102,4,FALSE),"",VLOOKUP(A113,Abstract1!A$4:R$102,5,FALSE))</f>
        <v>#N/A</v>
      </c>
      <c r="C113" s="96" t="e">
        <f>VLOOKUP(A113,Abstract1!A$4:R$102,17,FALSE)</f>
        <v>#N/A</v>
      </c>
      <c r="D113" s="109" t="e">
        <f>VLOOKUP(A113,Abstract1!A$4:R$102,12,FALSE)</f>
        <v>#N/A</v>
      </c>
      <c r="E113" s="109" t="e">
        <f>VLOOKUP(A113,Abstract1!A$4:R$102,18,FALSE)</f>
        <v>#N/A</v>
      </c>
      <c r="F113" s="110" t="e">
        <f>VLOOKUP(A113,Abstract1!A$4:R$102,13,FALSE)</f>
        <v>#N/A</v>
      </c>
      <c r="G113" s="110" t="e">
        <f>VLOOKUP(A113,Abstract1!A$4:R$102,11,FALSE)</f>
        <v>#N/A</v>
      </c>
    </row>
    <row r="114" spans="1:7" ht="39.75" customHeight="1" x14ac:dyDescent="0.25">
      <c r="A114" s="99">
        <v>110</v>
      </c>
      <c r="B114" s="100" t="e">
        <f>_xlfn.CONCAT(VLOOKUP(A114,Abstract1!A$4:R$102,4,FALSE),"",VLOOKUP(A114,Abstract1!A$4:R$102,5,FALSE))</f>
        <v>#N/A</v>
      </c>
      <c r="C114" s="96" t="e">
        <f>VLOOKUP(A114,Abstract1!A$4:R$102,17,FALSE)</f>
        <v>#N/A</v>
      </c>
      <c r="D114" s="109" t="e">
        <f>VLOOKUP(A114,Abstract1!A$4:R$102,12,FALSE)</f>
        <v>#N/A</v>
      </c>
      <c r="E114" s="109" t="e">
        <f>VLOOKUP(A114,Abstract1!A$4:R$102,18,FALSE)</f>
        <v>#N/A</v>
      </c>
      <c r="F114" s="110" t="e">
        <f>VLOOKUP(A114,Abstract1!A$4:R$102,13,FALSE)</f>
        <v>#N/A</v>
      </c>
      <c r="G114" s="110" t="e">
        <f>VLOOKUP(A114,Abstract1!A$4:R$102,11,FALSE)</f>
        <v>#N/A</v>
      </c>
    </row>
    <row r="115" spans="1:7" ht="39.75" customHeight="1" x14ac:dyDescent="0.25">
      <c r="A115" s="99">
        <v>111</v>
      </c>
      <c r="B115" s="100" t="e">
        <f>_xlfn.CONCAT(VLOOKUP(A115,Abstract1!A$4:R$102,4,FALSE),"",VLOOKUP(A115,Abstract1!A$4:R$102,5,FALSE))</f>
        <v>#N/A</v>
      </c>
      <c r="C115" s="96" t="e">
        <f>VLOOKUP(A115,Abstract1!A$4:R$102,17,FALSE)</f>
        <v>#N/A</v>
      </c>
      <c r="D115" s="109" t="e">
        <f>VLOOKUP(A115,Abstract1!A$4:R$102,12,FALSE)</f>
        <v>#N/A</v>
      </c>
      <c r="E115" s="109" t="e">
        <f>VLOOKUP(A115,Abstract1!A$4:R$102,18,FALSE)</f>
        <v>#N/A</v>
      </c>
      <c r="F115" s="110" t="e">
        <f>VLOOKUP(A115,Abstract1!A$4:R$102,13,FALSE)</f>
        <v>#N/A</v>
      </c>
      <c r="G115" s="110" t="e">
        <f>VLOOKUP(A115,Abstract1!A$4:R$102,11,FALSE)</f>
        <v>#N/A</v>
      </c>
    </row>
    <row r="116" spans="1:7" ht="39.75" customHeight="1" x14ac:dyDescent="0.25">
      <c r="A116" s="99">
        <v>112</v>
      </c>
      <c r="B116" s="100" t="e">
        <f>_xlfn.CONCAT(VLOOKUP(A116,Abstract1!A$4:R$102,4,FALSE),"",VLOOKUP(A116,Abstract1!A$4:R$102,5,FALSE))</f>
        <v>#N/A</v>
      </c>
      <c r="C116" s="96" t="e">
        <f>VLOOKUP(A116,Abstract1!A$4:R$102,17,FALSE)</f>
        <v>#N/A</v>
      </c>
      <c r="D116" s="109" t="e">
        <f>VLOOKUP(A116,Abstract1!A$4:R$102,12,FALSE)</f>
        <v>#N/A</v>
      </c>
      <c r="E116" s="109" t="e">
        <f>VLOOKUP(A116,Abstract1!A$4:R$102,18,FALSE)</f>
        <v>#N/A</v>
      </c>
      <c r="F116" s="110" t="e">
        <f>VLOOKUP(A116,Abstract1!A$4:R$102,13,FALSE)</f>
        <v>#N/A</v>
      </c>
      <c r="G116" s="110" t="e">
        <f>VLOOKUP(A116,Abstract1!A$4:R$102,11,FALSE)</f>
        <v>#N/A</v>
      </c>
    </row>
    <row r="117" spans="1:7" ht="39.75" customHeight="1" x14ac:dyDescent="0.25">
      <c r="A117" s="99">
        <v>113</v>
      </c>
      <c r="B117" s="100" t="e">
        <f>_xlfn.CONCAT(VLOOKUP(A117,Abstract1!A$4:R$102,4,FALSE),"",VLOOKUP(A117,Abstract1!A$4:R$102,5,FALSE))</f>
        <v>#N/A</v>
      </c>
      <c r="C117" s="96" t="e">
        <f>VLOOKUP(A117,Abstract1!A$4:R$102,17,FALSE)</f>
        <v>#N/A</v>
      </c>
      <c r="D117" s="109" t="e">
        <f>VLOOKUP(A117,Abstract1!A$4:R$102,12,FALSE)</f>
        <v>#N/A</v>
      </c>
      <c r="E117" s="109" t="e">
        <f>VLOOKUP(A117,Abstract1!A$4:R$102,18,FALSE)</f>
        <v>#N/A</v>
      </c>
      <c r="F117" s="110" t="e">
        <f>VLOOKUP(A117,Abstract1!A$4:R$102,13,FALSE)</f>
        <v>#N/A</v>
      </c>
      <c r="G117" s="110" t="e">
        <f>VLOOKUP(A117,Abstract1!A$4:R$102,11,FALSE)</f>
        <v>#N/A</v>
      </c>
    </row>
    <row r="118" spans="1:7" ht="39.75" customHeight="1" x14ac:dyDescent="0.25">
      <c r="A118" s="99">
        <v>114</v>
      </c>
      <c r="B118" s="100" t="e">
        <f>_xlfn.CONCAT(VLOOKUP(A118,Abstract1!A$4:R$102,4,FALSE),"",VLOOKUP(A118,Abstract1!A$4:R$102,5,FALSE))</f>
        <v>#N/A</v>
      </c>
      <c r="C118" s="96" t="e">
        <f>VLOOKUP(A118,Abstract1!A$4:R$102,17,FALSE)</f>
        <v>#N/A</v>
      </c>
      <c r="D118" s="109" t="e">
        <f>VLOOKUP(A118,Abstract1!A$4:R$102,12,FALSE)</f>
        <v>#N/A</v>
      </c>
      <c r="E118" s="109" t="e">
        <f>VLOOKUP(A118,Abstract1!A$4:R$102,18,FALSE)</f>
        <v>#N/A</v>
      </c>
      <c r="F118" s="110" t="e">
        <f>VLOOKUP(A118,Abstract1!A$4:R$102,13,FALSE)</f>
        <v>#N/A</v>
      </c>
      <c r="G118" s="110" t="e">
        <f>VLOOKUP(A118,Abstract1!A$4:R$102,11,FALSE)</f>
        <v>#N/A</v>
      </c>
    </row>
    <row r="119" spans="1:7" ht="39.75" customHeight="1" x14ac:dyDescent="0.25">
      <c r="A119" s="99">
        <v>115</v>
      </c>
      <c r="B119" s="100" t="e">
        <f>_xlfn.CONCAT(VLOOKUP(A119,Abstract1!A$4:R$102,4,FALSE),"",VLOOKUP(A119,Abstract1!A$4:R$102,5,FALSE))</f>
        <v>#N/A</v>
      </c>
      <c r="C119" s="96" t="e">
        <f>VLOOKUP(A119,Abstract1!A$4:R$102,17,FALSE)</f>
        <v>#N/A</v>
      </c>
      <c r="D119" s="109" t="e">
        <f>VLOOKUP(A119,Abstract1!A$4:R$102,12,FALSE)</f>
        <v>#N/A</v>
      </c>
      <c r="E119" s="109" t="e">
        <f>VLOOKUP(A119,Abstract1!A$4:R$102,18,FALSE)</f>
        <v>#N/A</v>
      </c>
      <c r="F119" s="110" t="e">
        <f>VLOOKUP(A119,Abstract1!A$4:R$102,13,FALSE)</f>
        <v>#N/A</v>
      </c>
      <c r="G119" s="110" t="e">
        <f>VLOOKUP(A119,Abstract1!A$4:R$102,11,FALSE)</f>
        <v>#N/A</v>
      </c>
    </row>
    <row r="120" spans="1:7" ht="39.75" customHeight="1" x14ac:dyDescent="0.25">
      <c r="A120" s="99">
        <v>116</v>
      </c>
      <c r="B120" s="100" t="e">
        <f>_xlfn.CONCAT(VLOOKUP(A120,Abstract1!A$4:R$102,4,FALSE),"",VLOOKUP(A120,Abstract1!A$4:R$102,5,FALSE))</f>
        <v>#N/A</v>
      </c>
      <c r="C120" s="96" t="e">
        <f>VLOOKUP(A120,Abstract1!A$4:R$102,17,FALSE)</f>
        <v>#N/A</v>
      </c>
      <c r="D120" s="109" t="e">
        <f>VLOOKUP(A120,Abstract1!A$4:R$102,12,FALSE)</f>
        <v>#N/A</v>
      </c>
      <c r="E120" s="109" t="e">
        <f>VLOOKUP(A120,Abstract1!A$4:R$102,18,FALSE)</f>
        <v>#N/A</v>
      </c>
      <c r="F120" s="110" t="e">
        <f>VLOOKUP(A120,Abstract1!A$4:R$102,13,FALSE)</f>
        <v>#N/A</v>
      </c>
      <c r="G120" s="110" t="e">
        <f>VLOOKUP(A120,Abstract1!A$4:R$102,11,FALSE)</f>
        <v>#N/A</v>
      </c>
    </row>
    <row r="121" spans="1:7" ht="39.75" customHeight="1" x14ac:dyDescent="0.25">
      <c r="A121" s="99">
        <v>117</v>
      </c>
      <c r="B121" s="100" t="e">
        <f>_xlfn.CONCAT(VLOOKUP(A121,Abstract1!A$4:R$102,4,FALSE),"",VLOOKUP(A121,Abstract1!A$4:R$102,5,FALSE))</f>
        <v>#N/A</v>
      </c>
      <c r="C121" s="96" t="e">
        <f>VLOOKUP(A121,Abstract1!A$4:R$102,17,FALSE)</f>
        <v>#N/A</v>
      </c>
      <c r="D121" s="109" t="e">
        <f>VLOOKUP(A121,Abstract1!A$4:R$102,12,FALSE)</f>
        <v>#N/A</v>
      </c>
      <c r="E121" s="109" t="e">
        <f>VLOOKUP(A121,Abstract1!A$4:R$102,18,FALSE)</f>
        <v>#N/A</v>
      </c>
      <c r="F121" s="110" t="e">
        <f>VLOOKUP(A121,Abstract1!A$4:R$102,13,FALSE)</f>
        <v>#N/A</v>
      </c>
      <c r="G121" s="110" t="e">
        <f>VLOOKUP(A121,Abstract1!A$4:R$102,11,FALSE)</f>
        <v>#N/A</v>
      </c>
    </row>
    <row r="122" spans="1:7" ht="39.75" customHeight="1" x14ac:dyDescent="0.25">
      <c r="A122" s="99">
        <v>118</v>
      </c>
      <c r="B122" s="100" t="e">
        <f>_xlfn.CONCAT(VLOOKUP(A122,Abstract1!A$4:R$102,4,FALSE),"",VLOOKUP(A122,Abstract1!A$4:R$102,5,FALSE))</f>
        <v>#N/A</v>
      </c>
      <c r="C122" s="96" t="e">
        <f>VLOOKUP(A122,Abstract1!A$4:R$102,17,FALSE)</f>
        <v>#N/A</v>
      </c>
      <c r="D122" s="109" t="e">
        <f>VLOOKUP(A122,Abstract1!A$4:R$102,12,FALSE)</f>
        <v>#N/A</v>
      </c>
      <c r="E122" s="109" t="e">
        <f>VLOOKUP(A122,Abstract1!A$4:R$102,18,FALSE)</f>
        <v>#N/A</v>
      </c>
      <c r="F122" s="110" t="e">
        <f>VLOOKUP(A122,Abstract1!A$4:R$102,13,FALSE)</f>
        <v>#N/A</v>
      </c>
      <c r="G122" s="110" t="e">
        <f>VLOOKUP(A122,Abstract1!A$4:R$102,11,FALSE)</f>
        <v>#N/A</v>
      </c>
    </row>
    <row r="123" spans="1:7" ht="39.75" customHeight="1" x14ac:dyDescent="0.25">
      <c r="A123" s="99">
        <v>119</v>
      </c>
      <c r="B123" s="100" t="e">
        <f>_xlfn.CONCAT(VLOOKUP(A123,Abstract1!A$4:R$102,4,FALSE),"",VLOOKUP(A123,Abstract1!A$4:R$102,5,FALSE))</f>
        <v>#N/A</v>
      </c>
      <c r="C123" s="96" t="e">
        <f>VLOOKUP(A123,Abstract1!A$4:R$102,17,FALSE)</f>
        <v>#N/A</v>
      </c>
      <c r="D123" s="109" t="e">
        <f>VLOOKUP(A123,Abstract1!A$4:R$102,12,FALSE)</f>
        <v>#N/A</v>
      </c>
      <c r="E123" s="109" t="e">
        <f>VLOOKUP(A123,Abstract1!A$4:R$102,18,FALSE)</f>
        <v>#N/A</v>
      </c>
      <c r="F123" s="110" t="e">
        <f>VLOOKUP(A123,Abstract1!A$4:R$102,13,FALSE)</f>
        <v>#N/A</v>
      </c>
      <c r="G123" s="110" t="e">
        <f>VLOOKUP(A123,Abstract1!A$4:R$102,11,FALSE)</f>
        <v>#N/A</v>
      </c>
    </row>
    <row r="124" spans="1:7" ht="39.75" customHeight="1" x14ac:dyDescent="0.25">
      <c r="A124" s="99">
        <v>120</v>
      </c>
      <c r="B124" s="100" t="e">
        <f>_xlfn.CONCAT(VLOOKUP(A124,Abstract1!A$4:R$102,4,FALSE),"",VLOOKUP(A124,Abstract1!A$4:R$102,5,FALSE))</f>
        <v>#N/A</v>
      </c>
      <c r="C124" s="96" t="e">
        <f>VLOOKUP(A124,Abstract1!A$4:R$102,17,FALSE)</f>
        <v>#N/A</v>
      </c>
      <c r="D124" s="109" t="e">
        <f>VLOOKUP(A124,Abstract1!A$4:R$102,12,FALSE)</f>
        <v>#N/A</v>
      </c>
      <c r="E124" s="109" t="e">
        <f>VLOOKUP(A124,Abstract1!A$4:R$102,18,FALSE)</f>
        <v>#N/A</v>
      </c>
      <c r="F124" s="110" t="e">
        <f>VLOOKUP(A124,Abstract1!A$4:R$102,13,FALSE)</f>
        <v>#N/A</v>
      </c>
      <c r="G124" s="110" t="e">
        <f>VLOOKUP(A124,Abstract1!A$4:R$102,11,FALSE)</f>
        <v>#N/A</v>
      </c>
    </row>
    <row r="125" spans="1:7" ht="39.75" customHeight="1" x14ac:dyDescent="0.25">
      <c r="A125" s="99">
        <v>121</v>
      </c>
      <c r="B125" s="100" t="e">
        <f>_xlfn.CONCAT(VLOOKUP(A125,Abstract1!A$4:R$102,4,FALSE),"",VLOOKUP(A125,Abstract1!A$4:R$102,5,FALSE))</f>
        <v>#N/A</v>
      </c>
      <c r="C125" s="96" t="e">
        <f>VLOOKUP(A125,Abstract1!A$4:R$102,17,FALSE)</f>
        <v>#N/A</v>
      </c>
      <c r="D125" s="109" t="e">
        <f>VLOOKUP(A125,Abstract1!A$4:R$102,12,FALSE)</f>
        <v>#N/A</v>
      </c>
      <c r="E125" s="109" t="e">
        <f>VLOOKUP(A125,Abstract1!A$4:R$102,18,FALSE)</f>
        <v>#N/A</v>
      </c>
      <c r="F125" s="110" t="e">
        <f>VLOOKUP(A125,Abstract1!A$4:R$102,13,FALSE)</f>
        <v>#N/A</v>
      </c>
      <c r="G125" s="110" t="e">
        <f>VLOOKUP(A125,Abstract1!A$4:R$102,11,FALSE)</f>
        <v>#N/A</v>
      </c>
    </row>
    <row r="126" spans="1:7" ht="39.75" customHeight="1" x14ac:dyDescent="0.25">
      <c r="A126" s="99">
        <v>122</v>
      </c>
      <c r="B126" s="100" t="e">
        <f>_xlfn.CONCAT(VLOOKUP(A126,Abstract1!A$4:R$102,4,FALSE),"",VLOOKUP(A126,Abstract1!A$4:R$102,5,FALSE))</f>
        <v>#N/A</v>
      </c>
      <c r="C126" s="96" t="e">
        <f>VLOOKUP(A126,Abstract1!A$4:R$102,17,FALSE)</f>
        <v>#N/A</v>
      </c>
      <c r="D126" s="109" t="e">
        <f>VLOOKUP(A126,Abstract1!A$4:R$102,12,FALSE)</f>
        <v>#N/A</v>
      </c>
      <c r="E126" s="109" t="e">
        <f>VLOOKUP(A126,Abstract1!A$4:R$102,18,FALSE)</f>
        <v>#N/A</v>
      </c>
      <c r="F126" s="110" t="e">
        <f>VLOOKUP(A126,Abstract1!A$4:R$102,13,FALSE)</f>
        <v>#N/A</v>
      </c>
      <c r="G126" s="110" t="e">
        <f>VLOOKUP(A126,Abstract1!A$4:R$102,11,FALSE)</f>
        <v>#N/A</v>
      </c>
    </row>
    <row r="127" spans="1:7" ht="39.75" customHeight="1" x14ac:dyDescent="0.25">
      <c r="A127" s="99">
        <v>123</v>
      </c>
      <c r="B127" s="100" t="e">
        <f>_xlfn.CONCAT(VLOOKUP(A127,Abstract1!A$4:R$102,4,FALSE),"",VLOOKUP(A127,Abstract1!A$4:R$102,5,FALSE))</f>
        <v>#N/A</v>
      </c>
      <c r="C127" s="96" t="e">
        <f>VLOOKUP(A127,Abstract1!A$4:R$102,17,FALSE)</f>
        <v>#N/A</v>
      </c>
      <c r="D127" s="109" t="e">
        <f>VLOOKUP(A127,Abstract1!A$4:R$102,12,FALSE)</f>
        <v>#N/A</v>
      </c>
      <c r="E127" s="109" t="e">
        <f>VLOOKUP(A127,Abstract1!A$4:R$102,18,FALSE)</f>
        <v>#N/A</v>
      </c>
      <c r="F127" s="110" t="e">
        <f>VLOOKUP(A127,Abstract1!A$4:R$102,13,FALSE)</f>
        <v>#N/A</v>
      </c>
      <c r="G127" s="110" t="e">
        <f>VLOOKUP(A127,Abstract1!A$4:R$102,11,FALSE)</f>
        <v>#N/A</v>
      </c>
    </row>
    <row r="128" spans="1:7" ht="39.75" customHeight="1" x14ac:dyDescent="0.25">
      <c r="A128" s="99">
        <v>124</v>
      </c>
      <c r="B128" s="100" t="e">
        <f>_xlfn.CONCAT(VLOOKUP(A128,Abstract1!A$4:R$102,4,FALSE),"",VLOOKUP(A128,Abstract1!A$4:R$102,5,FALSE))</f>
        <v>#N/A</v>
      </c>
      <c r="C128" s="96" t="e">
        <f>VLOOKUP(A128,Abstract1!A$4:R$102,17,FALSE)</f>
        <v>#N/A</v>
      </c>
      <c r="D128" s="109" t="e">
        <f>VLOOKUP(A128,Abstract1!A$4:R$102,12,FALSE)</f>
        <v>#N/A</v>
      </c>
      <c r="E128" s="109" t="e">
        <f>VLOOKUP(A128,Abstract1!A$4:R$102,18,FALSE)</f>
        <v>#N/A</v>
      </c>
      <c r="F128" s="110" t="e">
        <f>VLOOKUP(A128,Abstract1!A$4:R$102,13,FALSE)</f>
        <v>#N/A</v>
      </c>
      <c r="G128" s="110" t="e">
        <f>VLOOKUP(A128,Abstract1!A$4:R$102,11,FALSE)</f>
        <v>#N/A</v>
      </c>
    </row>
    <row r="129" spans="1:7" ht="39.75" customHeight="1" x14ac:dyDescent="0.25">
      <c r="A129" s="99">
        <v>125</v>
      </c>
      <c r="B129" s="100" t="e">
        <f>_xlfn.CONCAT(VLOOKUP(A129,Abstract1!A$4:R$102,4,FALSE),"",VLOOKUP(A129,Abstract1!A$4:R$102,5,FALSE))</f>
        <v>#N/A</v>
      </c>
      <c r="C129" s="96" t="e">
        <f>VLOOKUP(A129,Abstract1!A$4:R$102,17,FALSE)</f>
        <v>#N/A</v>
      </c>
      <c r="D129" s="109" t="e">
        <f>VLOOKUP(A129,Abstract1!A$4:R$102,12,FALSE)</f>
        <v>#N/A</v>
      </c>
      <c r="E129" s="109" t="e">
        <f>VLOOKUP(A129,Abstract1!A$4:R$102,18,FALSE)</f>
        <v>#N/A</v>
      </c>
      <c r="F129" s="110" t="e">
        <f>VLOOKUP(A129,Abstract1!A$4:R$102,13,FALSE)</f>
        <v>#N/A</v>
      </c>
      <c r="G129" s="110" t="e">
        <f>VLOOKUP(A129,Abstract1!A$4:R$102,11,FALSE)</f>
        <v>#N/A</v>
      </c>
    </row>
    <row r="130" spans="1:7" ht="39.75" customHeight="1" x14ac:dyDescent="0.25">
      <c r="A130" s="99">
        <v>126</v>
      </c>
      <c r="B130" s="100" t="e">
        <f>_xlfn.CONCAT(VLOOKUP(A130,Abstract1!A$4:R$102,4,FALSE),"",VLOOKUP(A130,Abstract1!A$4:R$102,5,FALSE))</f>
        <v>#N/A</v>
      </c>
      <c r="C130" s="96" t="e">
        <f>VLOOKUP(A130,Abstract1!A$4:R$102,17,FALSE)</f>
        <v>#N/A</v>
      </c>
      <c r="D130" s="109" t="e">
        <f>VLOOKUP(A130,Abstract1!A$4:R$102,12,FALSE)</f>
        <v>#N/A</v>
      </c>
      <c r="E130" s="109" t="e">
        <f>VLOOKUP(A130,Abstract1!A$4:R$102,18,FALSE)</f>
        <v>#N/A</v>
      </c>
      <c r="F130" s="110" t="e">
        <f>VLOOKUP(A130,Abstract1!A$4:R$102,13,FALSE)</f>
        <v>#N/A</v>
      </c>
      <c r="G130" s="110" t="e">
        <f>VLOOKUP(A130,Abstract1!A$4:R$102,11,FALSE)</f>
        <v>#N/A</v>
      </c>
    </row>
    <row r="131" spans="1:7" ht="39.75" customHeight="1" x14ac:dyDescent="0.25">
      <c r="A131" s="99">
        <v>127</v>
      </c>
      <c r="B131" s="100" t="e">
        <f>_xlfn.CONCAT(VLOOKUP(A131,Abstract1!A$4:R$102,4,FALSE),"",VLOOKUP(A131,Abstract1!A$4:R$102,5,FALSE))</f>
        <v>#N/A</v>
      </c>
      <c r="C131" s="96" t="e">
        <f>VLOOKUP(A131,Abstract1!A$4:R$102,17,FALSE)</f>
        <v>#N/A</v>
      </c>
      <c r="D131" s="109" t="e">
        <f>VLOOKUP(A131,Abstract1!A$4:R$102,12,FALSE)</f>
        <v>#N/A</v>
      </c>
      <c r="E131" s="109" t="e">
        <f>VLOOKUP(A131,Abstract1!A$4:R$102,18,FALSE)</f>
        <v>#N/A</v>
      </c>
      <c r="F131" s="110" t="e">
        <f>VLOOKUP(A131,Abstract1!A$4:R$102,13,FALSE)</f>
        <v>#N/A</v>
      </c>
      <c r="G131" s="110" t="e">
        <f>VLOOKUP(A131,Abstract1!A$4:R$102,11,FALSE)</f>
        <v>#N/A</v>
      </c>
    </row>
    <row r="132" spans="1:7" ht="39.75" customHeight="1" x14ac:dyDescent="0.25">
      <c r="A132" s="99">
        <v>128</v>
      </c>
      <c r="B132" s="100" t="e">
        <f>_xlfn.CONCAT(VLOOKUP(A132,Abstract1!A$4:R$102,4,FALSE),"",VLOOKUP(A132,Abstract1!A$4:R$102,5,FALSE))</f>
        <v>#N/A</v>
      </c>
      <c r="C132" s="96" t="e">
        <f>VLOOKUP(A132,Abstract1!A$4:R$102,17,FALSE)</f>
        <v>#N/A</v>
      </c>
      <c r="D132" s="109" t="e">
        <f>VLOOKUP(A132,Abstract1!A$4:R$102,12,FALSE)</f>
        <v>#N/A</v>
      </c>
      <c r="E132" s="109" t="e">
        <f>VLOOKUP(A132,Abstract1!A$4:R$102,18,FALSE)</f>
        <v>#N/A</v>
      </c>
      <c r="F132" s="110" t="e">
        <f>VLOOKUP(A132,Abstract1!A$4:R$102,13,FALSE)</f>
        <v>#N/A</v>
      </c>
      <c r="G132" s="110" t="e">
        <f>VLOOKUP(A132,Abstract1!A$4:R$102,11,FALSE)</f>
        <v>#N/A</v>
      </c>
    </row>
    <row r="133" spans="1:7" ht="39.75" customHeight="1" x14ac:dyDescent="0.25">
      <c r="A133" s="99">
        <v>129</v>
      </c>
      <c r="B133" s="100" t="e">
        <f>_xlfn.CONCAT(VLOOKUP(A133,Abstract1!A$4:R$102,4,FALSE),"",VLOOKUP(A133,Abstract1!A$4:R$102,5,FALSE))</f>
        <v>#N/A</v>
      </c>
      <c r="C133" s="96" t="e">
        <f>VLOOKUP(A133,Abstract1!A$4:R$102,17,FALSE)</f>
        <v>#N/A</v>
      </c>
      <c r="D133" s="109" t="e">
        <f>VLOOKUP(A133,Abstract1!A$4:R$102,12,FALSE)</f>
        <v>#N/A</v>
      </c>
      <c r="E133" s="109" t="e">
        <f>VLOOKUP(A133,Abstract1!A$4:R$102,18,FALSE)</f>
        <v>#N/A</v>
      </c>
      <c r="F133" s="110" t="e">
        <f>VLOOKUP(A133,Abstract1!A$4:R$102,13,FALSE)</f>
        <v>#N/A</v>
      </c>
      <c r="G133" s="110" t="e">
        <f>VLOOKUP(A133,Abstract1!A$4:R$102,11,FALSE)</f>
        <v>#N/A</v>
      </c>
    </row>
    <row r="134" spans="1:7" ht="39.75" customHeight="1" x14ac:dyDescent="0.25">
      <c r="A134" s="99">
        <v>130</v>
      </c>
      <c r="B134" s="100" t="e">
        <f>_xlfn.CONCAT(VLOOKUP(A134,Abstract1!A$4:R$102,4,FALSE),"",VLOOKUP(A134,Abstract1!A$4:R$102,5,FALSE))</f>
        <v>#N/A</v>
      </c>
      <c r="C134" s="96" t="e">
        <f>VLOOKUP(A134,Abstract1!A$4:R$102,17,FALSE)</f>
        <v>#N/A</v>
      </c>
      <c r="D134" s="109" t="e">
        <f>VLOOKUP(A134,Abstract1!A$4:R$102,12,FALSE)</f>
        <v>#N/A</v>
      </c>
      <c r="E134" s="109" t="e">
        <f>VLOOKUP(A134,Abstract1!A$4:R$102,18,FALSE)</f>
        <v>#N/A</v>
      </c>
      <c r="F134" s="110" t="e">
        <f>VLOOKUP(A134,Abstract1!A$4:R$102,13,FALSE)</f>
        <v>#N/A</v>
      </c>
      <c r="G134" s="110" t="e">
        <f>VLOOKUP(A134,Abstract1!A$4:R$102,11,FALSE)</f>
        <v>#N/A</v>
      </c>
    </row>
    <row r="135" spans="1:7" ht="39.75" customHeight="1" x14ac:dyDescent="0.25">
      <c r="A135" s="99">
        <v>131</v>
      </c>
      <c r="B135" s="100" t="e">
        <f>_xlfn.CONCAT(VLOOKUP(A135,Abstract1!A$4:R$102,4,FALSE),"",VLOOKUP(A135,Abstract1!A$4:R$102,5,FALSE))</f>
        <v>#N/A</v>
      </c>
      <c r="C135" s="96" t="e">
        <f>VLOOKUP(A135,Abstract1!A$4:R$102,17,FALSE)</f>
        <v>#N/A</v>
      </c>
      <c r="D135" s="109" t="e">
        <f>VLOOKUP(A135,Abstract1!A$4:R$102,12,FALSE)</f>
        <v>#N/A</v>
      </c>
      <c r="E135" s="109" t="e">
        <f>VLOOKUP(A135,Abstract1!A$4:R$102,18,FALSE)</f>
        <v>#N/A</v>
      </c>
      <c r="F135" s="110" t="e">
        <f>VLOOKUP(A135,Abstract1!A$4:R$102,13,FALSE)</f>
        <v>#N/A</v>
      </c>
      <c r="G135" s="110" t="e">
        <f>VLOOKUP(A135,Abstract1!A$4:R$102,11,FALSE)</f>
        <v>#N/A</v>
      </c>
    </row>
    <row r="136" spans="1:7" ht="39.75" customHeight="1" x14ac:dyDescent="0.25">
      <c r="A136" s="99">
        <v>132</v>
      </c>
      <c r="B136" s="100" t="e">
        <f>_xlfn.CONCAT(VLOOKUP(A136,Abstract1!A$4:R$102,4,FALSE),"",VLOOKUP(A136,Abstract1!A$4:R$102,5,FALSE))</f>
        <v>#N/A</v>
      </c>
      <c r="C136" s="96" t="e">
        <f>VLOOKUP(A136,Abstract1!A$4:R$102,17,FALSE)</f>
        <v>#N/A</v>
      </c>
      <c r="D136" s="109" t="e">
        <f>VLOOKUP(A136,Abstract1!A$4:R$102,12,FALSE)</f>
        <v>#N/A</v>
      </c>
      <c r="E136" s="109" t="e">
        <f>VLOOKUP(A136,Abstract1!A$4:R$102,18,FALSE)</f>
        <v>#N/A</v>
      </c>
      <c r="F136" s="110" t="e">
        <f>VLOOKUP(A136,Abstract1!A$4:R$102,13,FALSE)</f>
        <v>#N/A</v>
      </c>
      <c r="G136" s="110" t="e">
        <f>VLOOKUP(A136,Abstract1!A$4:R$102,11,FALSE)</f>
        <v>#N/A</v>
      </c>
    </row>
    <row r="137" spans="1:7" ht="39.75" customHeight="1" x14ac:dyDescent="0.25">
      <c r="A137" s="99">
        <v>133</v>
      </c>
      <c r="B137" s="100" t="e">
        <f>_xlfn.CONCAT(VLOOKUP(A137,Abstract1!A$4:R$102,4,FALSE),"",VLOOKUP(A137,Abstract1!A$4:R$102,5,FALSE))</f>
        <v>#N/A</v>
      </c>
      <c r="C137" s="96" t="e">
        <f>VLOOKUP(A137,Abstract1!A$4:R$102,17,FALSE)</f>
        <v>#N/A</v>
      </c>
      <c r="D137" s="109" t="e">
        <f>VLOOKUP(A137,Abstract1!A$4:R$102,12,FALSE)</f>
        <v>#N/A</v>
      </c>
      <c r="E137" s="109" t="e">
        <f>VLOOKUP(A137,Abstract1!A$4:R$102,18,FALSE)</f>
        <v>#N/A</v>
      </c>
      <c r="F137" s="110" t="e">
        <f>VLOOKUP(A137,Abstract1!A$4:R$102,13,FALSE)</f>
        <v>#N/A</v>
      </c>
      <c r="G137" s="110" t="e">
        <f>VLOOKUP(A137,Abstract1!A$4:R$102,11,FALSE)</f>
        <v>#N/A</v>
      </c>
    </row>
    <row r="138" spans="1:7" ht="39.75" customHeight="1" x14ac:dyDescent="0.25">
      <c r="A138" s="99">
        <v>134</v>
      </c>
      <c r="B138" s="100" t="e">
        <f>_xlfn.CONCAT(VLOOKUP(A138,Abstract1!A$4:R$102,4,FALSE),"",VLOOKUP(A138,Abstract1!A$4:R$102,5,FALSE))</f>
        <v>#N/A</v>
      </c>
      <c r="C138" s="96" t="e">
        <f>VLOOKUP(A138,Abstract1!A$4:R$102,17,FALSE)</f>
        <v>#N/A</v>
      </c>
      <c r="D138" s="109" t="e">
        <f>VLOOKUP(A138,Abstract1!A$4:R$102,12,FALSE)</f>
        <v>#N/A</v>
      </c>
      <c r="E138" s="109" t="e">
        <f>VLOOKUP(A138,Abstract1!A$4:R$102,18,FALSE)</f>
        <v>#N/A</v>
      </c>
      <c r="F138" s="110" t="e">
        <f>VLOOKUP(A138,Abstract1!A$4:R$102,13,FALSE)</f>
        <v>#N/A</v>
      </c>
      <c r="G138" s="110" t="e">
        <f>VLOOKUP(A138,Abstract1!A$4:R$102,11,FALSE)</f>
        <v>#N/A</v>
      </c>
    </row>
    <row r="139" spans="1:7" ht="39.75" customHeight="1" x14ac:dyDescent="0.25">
      <c r="A139" s="99">
        <v>135</v>
      </c>
      <c r="B139" s="100" t="e">
        <f>_xlfn.CONCAT(VLOOKUP(A139,Abstract1!A$4:R$102,4,FALSE),"",VLOOKUP(A139,Abstract1!A$4:R$102,5,FALSE))</f>
        <v>#N/A</v>
      </c>
      <c r="C139" s="96" t="e">
        <f>VLOOKUP(A139,Abstract1!A$4:R$102,17,FALSE)</f>
        <v>#N/A</v>
      </c>
      <c r="D139" s="109" t="e">
        <f>VLOOKUP(A139,Abstract1!A$4:R$102,12,FALSE)</f>
        <v>#N/A</v>
      </c>
      <c r="E139" s="109" t="e">
        <f>VLOOKUP(A139,Abstract1!A$4:R$102,18,FALSE)</f>
        <v>#N/A</v>
      </c>
      <c r="F139" s="110" t="e">
        <f>VLOOKUP(A139,Abstract1!A$4:R$102,13,FALSE)</f>
        <v>#N/A</v>
      </c>
      <c r="G139" s="110" t="e">
        <f>VLOOKUP(A139,Abstract1!A$4:R$102,11,FALSE)</f>
        <v>#N/A</v>
      </c>
    </row>
    <row r="140" spans="1:7" ht="39.75" customHeight="1" x14ac:dyDescent="0.25">
      <c r="A140" s="99">
        <v>136</v>
      </c>
      <c r="B140" s="100" t="e">
        <f>_xlfn.CONCAT(VLOOKUP(A140,Abstract1!A$4:R$102,4,FALSE),"",VLOOKUP(A140,Abstract1!A$4:R$102,5,FALSE))</f>
        <v>#N/A</v>
      </c>
      <c r="C140" s="96" t="e">
        <f>VLOOKUP(A140,Abstract1!A$4:R$102,17,FALSE)</f>
        <v>#N/A</v>
      </c>
      <c r="D140" s="109" t="e">
        <f>VLOOKUP(A140,Abstract1!A$4:R$102,12,FALSE)</f>
        <v>#N/A</v>
      </c>
      <c r="E140" s="109" t="e">
        <f>VLOOKUP(A140,Abstract1!A$4:R$102,18,FALSE)</f>
        <v>#N/A</v>
      </c>
      <c r="F140" s="110" t="e">
        <f>VLOOKUP(A140,Abstract1!A$4:R$102,13,FALSE)</f>
        <v>#N/A</v>
      </c>
      <c r="G140" s="110" t="e">
        <f>VLOOKUP(A140,Abstract1!A$4:R$102,11,FALSE)</f>
        <v>#N/A</v>
      </c>
    </row>
    <row r="141" spans="1:7" ht="39.75" customHeight="1" x14ac:dyDescent="0.25">
      <c r="A141" s="99">
        <v>137</v>
      </c>
      <c r="B141" s="100" t="e">
        <f>_xlfn.CONCAT(VLOOKUP(A141,Abstract1!A$4:R$102,4,FALSE),"",VLOOKUP(A141,Abstract1!A$4:R$102,5,FALSE))</f>
        <v>#N/A</v>
      </c>
      <c r="C141" s="96" t="e">
        <f>VLOOKUP(A141,Abstract1!A$4:R$102,17,FALSE)</f>
        <v>#N/A</v>
      </c>
      <c r="D141" s="109" t="e">
        <f>VLOOKUP(A141,Abstract1!A$4:R$102,12,FALSE)</f>
        <v>#N/A</v>
      </c>
      <c r="E141" s="109" t="e">
        <f>VLOOKUP(A141,Abstract1!A$4:R$102,18,FALSE)</f>
        <v>#N/A</v>
      </c>
      <c r="F141" s="110" t="e">
        <f>VLOOKUP(A141,Abstract1!A$4:R$102,13,FALSE)</f>
        <v>#N/A</v>
      </c>
      <c r="G141" s="110" t="e">
        <f>VLOOKUP(A141,Abstract1!A$4:R$102,11,FALSE)</f>
        <v>#N/A</v>
      </c>
    </row>
    <row r="142" spans="1:7" ht="39.75" customHeight="1" x14ac:dyDescent="0.25">
      <c r="A142" s="99">
        <v>138</v>
      </c>
      <c r="B142" s="100" t="e">
        <f>_xlfn.CONCAT(VLOOKUP(A142,Abstract1!A$4:R$102,4,FALSE),"",VLOOKUP(A142,Abstract1!A$4:R$102,5,FALSE))</f>
        <v>#N/A</v>
      </c>
      <c r="C142" s="96" t="e">
        <f>VLOOKUP(A142,Abstract1!A$4:R$102,17,FALSE)</f>
        <v>#N/A</v>
      </c>
      <c r="D142" s="109" t="e">
        <f>VLOOKUP(A142,Abstract1!A$4:R$102,12,FALSE)</f>
        <v>#N/A</v>
      </c>
      <c r="E142" s="109" t="e">
        <f>VLOOKUP(A142,Abstract1!A$4:R$102,18,FALSE)</f>
        <v>#N/A</v>
      </c>
      <c r="F142" s="110" t="e">
        <f>VLOOKUP(A142,Abstract1!A$4:R$102,13,FALSE)</f>
        <v>#N/A</v>
      </c>
      <c r="G142" s="110" t="e">
        <f>VLOOKUP(A142,Abstract1!A$4:R$102,11,FALSE)</f>
        <v>#N/A</v>
      </c>
    </row>
    <row r="143" spans="1:7" ht="39.75" customHeight="1" x14ac:dyDescent="0.25">
      <c r="A143" s="99">
        <v>139</v>
      </c>
      <c r="B143" s="100" t="e">
        <f>_xlfn.CONCAT(VLOOKUP(A143,Abstract1!A$4:R$102,4,FALSE),"",VLOOKUP(A143,Abstract1!A$4:R$102,5,FALSE))</f>
        <v>#N/A</v>
      </c>
      <c r="C143" s="96" t="e">
        <f>VLOOKUP(A143,Abstract1!A$4:R$102,17,FALSE)</f>
        <v>#N/A</v>
      </c>
      <c r="D143" s="109" t="e">
        <f>VLOOKUP(A143,Abstract1!A$4:R$102,12,FALSE)</f>
        <v>#N/A</v>
      </c>
      <c r="E143" s="109" t="e">
        <f>VLOOKUP(A143,Abstract1!A$4:R$102,18,FALSE)</f>
        <v>#N/A</v>
      </c>
      <c r="F143" s="110" t="e">
        <f>VLOOKUP(A143,Abstract1!A$4:R$102,13,FALSE)</f>
        <v>#N/A</v>
      </c>
      <c r="G143" s="110" t="e">
        <f>VLOOKUP(A143,Abstract1!A$4:R$102,11,FALSE)</f>
        <v>#N/A</v>
      </c>
    </row>
    <row r="144" spans="1:7" ht="39.75" customHeight="1" x14ac:dyDescent="0.25">
      <c r="A144" s="99">
        <v>140</v>
      </c>
      <c r="B144" s="100" t="e">
        <f>_xlfn.CONCAT(VLOOKUP(A144,Abstract1!A$4:R$102,4,FALSE),"",VLOOKUP(A144,Abstract1!A$4:R$102,5,FALSE))</f>
        <v>#N/A</v>
      </c>
      <c r="C144" s="96" t="e">
        <f>VLOOKUP(A144,Abstract1!A$4:R$102,17,FALSE)</f>
        <v>#N/A</v>
      </c>
      <c r="D144" s="109" t="e">
        <f>VLOOKUP(A144,Abstract1!A$4:R$102,12,FALSE)</f>
        <v>#N/A</v>
      </c>
      <c r="E144" s="109" t="e">
        <f>VLOOKUP(A144,Abstract1!A$4:R$102,18,FALSE)</f>
        <v>#N/A</v>
      </c>
      <c r="F144" s="110" t="e">
        <f>VLOOKUP(A144,Abstract1!A$4:R$102,13,FALSE)</f>
        <v>#N/A</v>
      </c>
      <c r="G144" s="110" t="e">
        <f>VLOOKUP(A144,Abstract1!A$4:R$102,11,FALSE)</f>
        <v>#N/A</v>
      </c>
    </row>
    <row r="145" spans="1:7" ht="39.75" customHeight="1" x14ac:dyDescent="0.25">
      <c r="A145" s="99">
        <v>141</v>
      </c>
      <c r="B145" s="100" t="e">
        <f>_xlfn.CONCAT(VLOOKUP(A145,Abstract1!A$4:R$102,4,FALSE),"",VLOOKUP(A145,Abstract1!A$4:R$102,5,FALSE))</f>
        <v>#N/A</v>
      </c>
      <c r="C145" s="96" t="e">
        <f>VLOOKUP(A145,Abstract1!A$4:R$102,17,FALSE)</f>
        <v>#N/A</v>
      </c>
      <c r="D145" s="109" t="e">
        <f>VLOOKUP(A145,Abstract1!A$4:R$102,12,FALSE)</f>
        <v>#N/A</v>
      </c>
      <c r="E145" s="109" t="e">
        <f>VLOOKUP(A145,Abstract1!A$4:R$102,18,FALSE)</f>
        <v>#N/A</v>
      </c>
      <c r="F145" s="110" t="e">
        <f>VLOOKUP(A145,Abstract1!A$4:R$102,13,FALSE)</f>
        <v>#N/A</v>
      </c>
      <c r="G145" s="110" t="e">
        <f>VLOOKUP(A145,Abstract1!A$4:R$102,11,FALSE)</f>
        <v>#N/A</v>
      </c>
    </row>
    <row r="146" spans="1:7" ht="39.75" customHeight="1" x14ac:dyDescent="0.25">
      <c r="A146" s="99">
        <v>142</v>
      </c>
      <c r="B146" s="100" t="e">
        <f>_xlfn.CONCAT(VLOOKUP(A146,Abstract1!A$4:R$102,4,FALSE),"",VLOOKUP(A146,Abstract1!A$4:R$102,5,FALSE))</f>
        <v>#N/A</v>
      </c>
      <c r="C146" s="96" t="e">
        <f>VLOOKUP(A146,Abstract1!A$4:R$102,17,FALSE)</f>
        <v>#N/A</v>
      </c>
      <c r="D146" s="109" t="e">
        <f>VLOOKUP(A146,Abstract1!A$4:R$102,12,FALSE)</f>
        <v>#N/A</v>
      </c>
      <c r="E146" s="109" t="e">
        <f>VLOOKUP(A146,Abstract1!A$4:R$102,18,FALSE)</f>
        <v>#N/A</v>
      </c>
      <c r="F146" s="110" t="e">
        <f>VLOOKUP(A146,Abstract1!A$4:R$102,13,FALSE)</f>
        <v>#N/A</v>
      </c>
      <c r="G146" s="110" t="e">
        <f>VLOOKUP(A146,Abstract1!A$4:R$102,11,FALSE)</f>
        <v>#N/A</v>
      </c>
    </row>
    <row r="147" spans="1:7" ht="39.75" customHeight="1" x14ac:dyDescent="0.25">
      <c r="A147" s="99">
        <v>143</v>
      </c>
      <c r="B147" s="100" t="e">
        <f>_xlfn.CONCAT(VLOOKUP(A147,Abstract1!A$4:R$102,4,FALSE),"",VLOOKUP(A147,Abstract1!A$4:R$102,5,FALSE))</f>
        <v>#N/A</v>
      </c>
      <c r="C147" s="96" t="e">
        <f>VLOOKUP(A147,Abstract1!A$4:R$102,17,FALSE)</f>
        <v>#N/A</v>
      </c>
      <c r="D147" s="109" t="e">
        <f>VLOOKUP(A147,Abstract1!A$4:R$102,12,FALSE)</f>
        <v>#N/A</v>
      </c>
      <c r="E147" s="109" t="e">
        <f>VLOOKUP(A147,Abstract1!A$4:R$102,18,FALSE)</f>
        <v>#N/A</v>
      </c>
      <c r="F147" s="110" t="e">
        <f>VLOOKUP(A147,Abstract1!A$4:R$102,13,FALSE)</f>
        <v>#N/A</v>
      </c>
      <c r="G147" s="110" t="e">
        <f>VLOOKUP(A147,Abstract1!A$4:R$102,11,FALSE)</f>
        <v>#N/A</v>
      </c>
    </row>
    <row r="148" spans="1:7" ht="39.75" customHeight="1" x14ac:dyDescent="0.25">
      <c r="A148" s="99">
        <v>144</v>
      </c>
      <c r="B148" s="100" t="e">
        <f>_xlfn.CONCAT(VLOOKUP(A148,Abstract1!A$4:R$102,4,FALSE),"",VLOOKUP(A148,Abstract1!A$4:R$102,5,FALSE))</f>
        <v>#N/A</v>
      </c>
      <c r="C148" s="96" t="e">
        <f>VLOOKUP(A148,Abstract1!A$4:R$102,17,FALSE)</f>
        <v>#N/A</v>
      </c>
      <c r="D148" s="109" t="e">
        <f>VLOOKUP(A148,Abstract1!A$4:R$102,12,FALSE)</f>
        <v>#N/A</v>
      </c>
      <c r="E148" s="109" t="e">
        <f>VLOOKUP(A148,Abstract1!A$4:R$102,18,FALSE)</f>
        <v>#N/A</v>
      </c>
      <c r="F148" s="110" t="e">
        <f>VLOOKUP(A148,Abstract1!A$4:R$102,13,FALSE)</f>
        <v>#N/A</v>
      </c>
      <c r="G148" s="110" t="e">
        <f>VLOOKUP(A148,Abstract1!A$4:R$102,11,FALSE)</f>
        <v>#N/A</v>
      </c>
    </row>
    <row r="149" spans="1:7" ht="39.75" customHeight="1" x14ac:dyDescent="0.25">
      <c r="A149" s="99">
        <v>145</v>
      </c>
      <c r="B149" s="100" t="e">
        <f>_xlfn.CONCAT(VLOOKUP(A149,Abstract1!A$4:R$102,4,FALSE),"",VLOOKUP(A149,Abstract1!A$4:R$102,5,FALSE))</f>
        <v>#N/A</v>
      </c>
      <c r="C149" s="96" t="e">
        <f>VLOOKUP(A149,Abstract1!A$4:R$102,17,FALSE)</f>
        <v>#N/A</v>
      </c>
      <c r="D149" s="109" t="e">
        <f>VLOOKUP(A149,Abstract1!A$4:R$102,12,FALSE)</f>
        <v>#N/A</v>
      </c>
      <c r="E149" s="109" t="e">
        <f>VLOOKUP(A149,Abstract1!A$4:R$102,18,FALSE)</f>
        <v>#N/A</v>
      </c>
      <c r="F149" s="110" t="e">
        <f>VLOOKUP(A149,Abstract1!A$4:R$102,13,FALSE)</f>
        <v>#N/A</v>
      </c>
      <c r="G149" s="110" t="e">
        <f>VLOOKUP(A149,Abstract1!A$4:R$102,11,FALSE)</f>
        <v>#N/A</v>
      </c>
    </row>
    <row r="150" spans="1:7" ht="39.75" customHeight="1" x14ac:dyDescent="0.25">
      <c r="A150" s="99">
        <v>146</v>
      </c>
      <c r="B150" s="100" t="e">
        <f>_xlfn.CONCAT(VLOOKUP(A150,Abstract1!A$4:R$102,4,FALSE),"",VLOOKUP(A150,Abstract1!A$4:R$102,5,FALSE))</f>
        <v>#N/A</v>
      </c>
      <c r="C150" s="96" t="e">
        <f>VLOOKUP(A150,Abstract1!A$4:R$102,17,FALSE)</f>
        <v>#N/A</v>
      </c>
      <c r="D150" s="109" t="e">
        <f>VLOOKUP(A150,Abstract1!A$4:R$102,12,FALSE)</f>
        <v>#N/A</v>
      </c>
      <c r="E150" s="109" t="e">
        <f>VLOOKUP(A150,Abstract1!A$4:R$102,18,FALSE)</f>
        <v>#N/A</v>
      </c>
      <c r="F150" s="110" t="e">
        <f>VLOOKUP(A150,Abstract1!A$4:R$102,13,FALSE)</f>
        <v>#N/A</v>
      </c>
      <c r="G150" s="110" t="e">
        <f>VLOOKUP(A150,Abstract1!A$4:R$102,11,FALSE)</f>
        <v>#N/A</v>
      </c>
    </row>
    <row r="151" spans="1:7" ht="39.75" customHeight="1" x14ac:dyDescent="0.25">
      <c r="A151" s="99">
        <v>147</v>
      </c>
      <c r="B151" s="100" t="e">
        <f>_xlfn.CONCAT(VLOOKUP(A151,Abstract1!A$4:R$102,4,FALSE),"",VLOOKUP(A151,Abstract1!A$4:R$102,5,FALSE))</f>
        <v>#N/A</v>
      </c>
      <c r="C151" s="96" t="e">
        <f>VLOOKUP(A151,Abstract1!A$4:R$102,17,FALSE)</f>
        <v>#N/A</v>
      </c>
      <c r="D151" s="109" t="e">
        <f>VLOOKUP(A151,Abstract1!A$4:R$102,12,FALSE)</f>
        <v>#N/A</v>
      </c>
      <c r="E151" s="109" t="e">
        <f>VLOOKUP(A151,Abstract1!A$4:R$102,18,FALSE)</f>
        <v>#N/A</v>
      </c>
      <c r="F151" s="110" t="e">
        <f>VLOOKUP(A151,Abstract1!A$4:R$102,13,FALSE)</f>
        <v>#N/A</v>
      </c>
      <c r="G151" s="110" t="e">
        <f>VLOOKUP(A151,Abstract1!A$4:R$102,11,FALSE)</f>
        <v>#N/A</v>
      </c>
    </row>
    <row r="152" spans="1:7" ht="39.75" customHeight="1" x14ac:dyDescent="0.25">
      <c r="A152" s="99">
        <v>148</v>
      </c>
      <c r="B152" s="100" t="e">
        <f>_xlfn.CONCAT(VLOOKUP(A152,Abstract1!A$4:R$102,4,FALSE),"",VLOOKUP(A152,Abstract1!A$4:R$102,5,FALSE))</f>
        <v>#N/A</v>
      </c>
      <c r="C152" s="96" t="e">
        <f>VLOOKUP(A152,Abstract1!A$4:R$102,17,FALSE)</f>
        <v>#N/A</v>
      </c>
      <c r="D152" s="109" t="e">
        <f>VLOOKUP(A152,Abstract1!A$4:R$102,12,FALSE)</f>
        <v>#N/A</v>
      </c>
      <c r="E152" s="109" t="e">
        <f>VLOOKUP(A152,Abstract1!A$4:R$102,18,FALSE)</f>
        <v>#N/A</v>
      </c>
      <c r="F152" s="110" t="e">
        <f>VLOOKUP(A152,Abstract1!A$4:R$102,13,FALSE)</f>
        <v>#N/A</v>
      </c>
      <c r="G152" s="110" t="e">
        <f>VLOOKUP(A152,Abstract1!A$4:R$102,11,FALSE)</f>
        <v>#N/A</v>
      </c>
    </row>
    <row r="153" spans="1:7" ht="39.75" customHeight="1" x14ac:dyDescent="0.25">
      <c r="A153" s="99">
        <v>149</v>
      </c>
      <c r="B153" s="100" t="e">
        <f>_xlfn.CONCAT(VLOOKUP(A153,Abstract1!A$4:R$102,4,FALSE),"",VLOOKUP(A153,Abstract1!A$4:R$102,5,FALSE))</f>
        <v>#N/A</v>
      </c>
      <c r="C153" s="96" t="e">
        <f>VLOOKUP(A153,Abstract1!A$4:R$102,17,FALSE)</f>
        <v>#N/A</v>
      </c>
      <c r="D153" s="109" t="e">
        <f>VLOOKUP(A153,Abstract1!A$4:R$102,12,FALSE)</f>
        <v>#N/A</v>
      </c>
      <c r="E153" s="109" t="e">
        <f>VLOOKUP(A153,Abstract1!A$4:R$102,18,FALSE)</f>
        <v>#N/A</v>
      </c>
      <c r="F153" s="110" t="e">
        <f>VLOOKUP(A153,Abstract1!A$4:R$102,13,FALSE)</f>
        <v>#N/A</v>
      </c>
      <c r="G153" s="110" t="e">
        <f>VLOOKUP(A153,Abstract1!A$4:R$102,11,FALSE)</f>
        <v>#N/A</v>
      </c>
    </row>
    <row r="154" spans="1:7" ht="39.75" customHeight="1" x14ac:dyDescent="0.25">
      <c r="A154" s="99">
        <v>150</v>
      </c>
      <c r="B154" s="100" t="e">
        <f>_xlfn.CONCAT(VLOOKUP(A154,Abstract1!A$4:R$102,4,FALSE),"",VLOOKUP(A154,Abstract1!A$4:R$102,5,FALSE))</f>
        <v>#N/A</v>
      </c>
      <c r="C154" s="96" t="e">
        <f>VLOOKUP(A154,Abstract1!A$4:R$102,17,FALSE)</f>
        <v>#N/A</v>
      </c>
      <c r="D154" s="109" t="e">
        <f>VLOOKUP(A154,Abstract1!A$4:R$102,12,FALSE)</f>
        <v>#N/A</v>
      </c>
      <c r="E154" s="109" t="e">
        <f>VLOOKUP(A154,Abstract1!A$4:R$102,18,FALSE)</f>
        <v>#N/A</v>
      </c>
      <c r="F154" s="110" t="e">
        <f>VLOOKUP(A154,Abstract1!A$4:R$102,13,FALSE)</f>
        <v>#N/A</v>
      </c>
      <c r="G154" s="110" t="e">
        <f>VLOOKUP(A154,Abstract1!A$4:R$102,11,FALSE)</f>
        <v>#N/A</v>
      </c>
    </row>
    <row r="155" spans="1:7" ht="39.75" customHeight="1" x14ac:dyDescent="0.25">
      <c r="A155" s="99">
        <v>151</v>
      </c>
      <c r="B155" s="100" t="e">
        <f>_xlfn.CONCAT(VLOOKUP(A155,Abstract1!A$4:R$102,4,FALSE),"",VLOOKUP(A155,Abstract1!A$4:R$102,5,FALSE))</f>
        <v>#N/A</v>
      </c>
      <c r="C155" s="96" t="e">
        <f>VLOOKUP(A155,Abstract1!A$4:R$102,17,FALSE)</f>
        <v>#N/A</v>
      </c>
      <c r="D155" s="109" t="e">
        <f>VLOOKUP(A155,Abstract1!A$4:R$102,12,FALSE)</f>
        <v>#N/A</v>
      </c>
      <c r="E155" s="109" t="e">
        <f>VLOOKUP(A155,Abstract1!A$4:R$102,18,FALSE)</f>
        <v>#N/A</v>
      </c>
      <c r="F155" s="110" t="e">
        <f>VLOOKUP(A155,Abstract1!A$4:R$102,13,FALSE)</f>
        <v>#N/A</v>
      </c>
      <c r="G155" s="110" t="e">
        <f>VLOOKUP(A155,Abstract1!A$4:R$102,11,FALSE)</f>
        <v>#N/A</v>
      </c>
    </row>
    <row r="156" spans="1:7" ht="39.75" customHeight="1" x14ac:dyDescent="0.25">
      <c r="A156" s="99">
        <v>152</v>
      </c>
      <c r="B156" s="100" t="e">
        <f>_xlfn.CONCAT(VLOOKUP(A156,Abstract1!A$4:R$102,4,FALSE),"",VLOOKUP(A156,Abstract1!A$4:R$102,5,FALSE))</f>
        <v>#N/A</v>
      </c>
      <c r="C156" s="96" t="e">
        <f>VLOOKUP(A156,Abstract1!A$4:R$102,17,FALSE)</f>
        <v>#N/A</v>
      </c>
      <c r="D156" s="109" t="e">
        <f>VLOOKUP(A156,Abstract1!A$4:R$102,12,FALSE)</f>
        <v>#N/A</v>
      </c>
      <c r="E156" s="109" t="e">
        <f>VLOOKUP(A156,Abstract1!A$4:R$102,18,FALSE)</f>
        <v>#N/A</v>
      </c>
      <c r="F156" s="110" t="e">
        <f>VLOOKUP(A156,Abstract1!A$4:R$102,13,FALSE)</f>
        <v>#N/A</v>
      </c>
      <c r="G156" s="110" t="e">
        <f>VLOOKUP(A156,Abstract1!A$4:R$102,11,FALSE)</f>
        <v>#N/A</v>
      </c>
    </row>
    <row r="157" spans="1:7" ht="39.75" customHeight="1" x14ac:dyDescent="0.25">
      <c r="A157" s="99">
        <v>153</v>
      </c>
      <c r="B157" s="100" t="e">
        <f>_xlfn.CONCAT(VLOOKUP(A157,Abstract1!A$4:R$102,4,FALSE),"",VLOOKUP(A157,Abstract1!A$4:R$102,5,FALSE))</f>
        <v>#N/A</v>
      </c>
      <c r="C157" s="96" t="e">
        <f>VLOOKUP(A157,Abstract1!A$4:R$102,17,FALSE)</f>
        <v>#N/A</v>
      </c>
      <c r="D157" s="109" t="e">
        <f>VLOOKUP(A157,Abstract1!A$4:R$102,12,FALSE)</f>
        <v>#N/A</v>
      </c>
      <c r="E157" s="109" t="e">
        <f>VLOOKUP(A157,Abstract1!A$4:R$102,18,FALSE)</f>
        <v>#N/A</v>
      </c>
      <c r="F157" s="110" t="e">
        <f>VLOOKUP(A157,Abstract1!A$4:R$102,13,FALSE)</f>
        <v>#N/A</v>
      </c>
      <c r="G157" s="110" t="e">
        <f>VLOOKUP(A157,Abstract1!A$4:R$102,11,FALSE)</f>
        <v>#N/A</v>
      </c>
    </row>
    <row r="158" spans="1:7" ht="39.75" customHeight="1" x14ac:dyDescent="0.25">
      <c r="A158" s="99">
        <v>154</v>
      </c>
      <c r="B158" s="100" t="e">
        <f>_xlfn.CONCAT(VLOOKUP(A158,Abstract1!A$4:R$102,4,FALSE),"",VLOOKUP(A158,Abstract1!A$4:R$102,5,FALSE))</f>
        <v>#N/A</v>
      </c>
      <c r="C158" s="96" t="e">
        <f>VLOOKUP(A158,Abstract1!A$4:R$102,17,FALSE)</f>
        <v>#N/A</v>
      </c>
      <c r="D158" s="109" t="e">
        <f>VLOOKUP(A158,Abstract1!A$4:R$102,12,FALSE)</f>
        <v>#N/A</v>
      </c>
      <c r="E158" s="109" t="e">
        <f>VLOOKUP(A158,Abstract1!A$4:R$102,18,FALSE)</f>
        <v>#N/A</v>
      </c>
      <c r="F158" s="110" t="e">
        <f>VLOOKUP(A158,Abstract1!A$4:R$102,13,FALSE)</f>
        <v>#N/A</v>
      </c>
      <c r="G158" s="110" t="e">
        <f>VLOOKUP(A158,Abstract1!A$4:R$102,11,FALSE)</f>
        <v>#N/A</v>
      </c>
    </row>
    <row r="159" spans="1:7" ht="39.75" customHeight="1" x14ac:dyDescent="0.25">
      <c r="A159" s="99">
        <v>155</v>
      </c>
      <c r="B159" s="100" t="e">
        <f>_xlfn.CONCAT(VLOOKUP(A159,Abstract1!A$4:R$102,4,FALSE),"",VLOOKUP(A159,Abstract1!A$4:R$102,5,FALSE))</f>
        <v>#N/A</v>
      </c>
      <c r="C159" s="96" t="e">
        <f>VLOOKUP(A159,Abstract1!A$4:R$102,17,FALSE)</f>
        <v>#N/A</v>
      </c>
      <c r="D159" s="109" t="e">
        <f>VLOOKUP(A159,Abstract1!A$4:R$102,12,FALSE)</f>
        <v>#N/A</v>
      </c>
      <c r="E159" s="109" t="e">
        <f>VLOOKUP(A159,Abstract1!A$4:R$102,18,FALSE)</f>
        <v>#N/A</v>
      </c>
      <c r="F159" s="110" t="e">
        <f>VLOOKUP(A159,Abstract1!A$4:R$102,13,FALSE)</f>
        <v>#N/A</v>
      </c>
      <c r="G159" s="110" t="e">
        <f>VLOOKUP(A159,Abstract1!A$4:R$102,11,FALSE)</f>
        <v>#N/A</v>
      </c>
    </row>
    <row r="160" spans="1:7" ht="39.75" customHeight="1" x14ac:dyDescent="0.25">
      <c r="A160" s="99">
        <v>156</v>
      </c>
      <c r="B160" s="100" t="e">
        <f>_xlfn.CONCAT(VLOOKUP(A160,Abstract1!A$4:R$102,4,FALSE),"",VLOOKUP(A160,Abstract1!A$4:R$102,5,FALSE))</f>
        <v>#N/A</v>
      </c>
      <c r="C160" s="96" t="e">
        <f>VLOOKUP(A160,Abstract1!A$4:R$102,17,FALSE)</f>
        <v>#N/A</v>
      </c>
      <c r="D160" s="109" t="e">
        <f>VLOOKUP(A160,Abstract1!A$4:R$102,12,FALSE)</f>
        <v>#N/A</v>
      </c>
      <c r="E160" s="109" t="e">
        <f>VLOOKUP(A160,Abstract1!A$4:R$102,18,FALSE)</f>
        <v>#N/A</v>
      </c>
      <c r="F160" s="110" t="e">
        <f>VLOOKUP(A160,Abstract1!A$4:R$102,13,FALSE)</f>
        <v>#N/A</v>
      </c>
      <c r="G160" s="110" t="e">
        <f>VLOOKUP(A160,Abstract1!A$4:R$102,11,FALSE)</f>
        <v>#N/A</v>
      </c>
    </row>
    <row r="161" spans="1:8" ht="39.75" customHeight="1" x14ac:dyDescent="0.25">
      <c r="A161" s="99">
        <v>157</v>
      </c>
      <c r="B161" s="100" t="e">
        <f>_xlfn.CONCAT(VLOOKUP(A161,Abstract1!A$4:R$102,4,FALSE),"",VLOOKUP(A161,Abstract1!A$4:R$102,5,FALSE))</f>
        <v>#N/A</v>
      </c>
      <c r="C161" s="96" t="e">
        <f>VLOOKUP(A161,Abstract1!A$4:R$102,17,FALSE)</f>
        <v>#N/A</v>
      </c>
      <c r="D161" s="109" t="e">
        <f>VLOOKUP(A161,Abstract1!A$4:R$102,12,FALSE)</f>
        <v>#N/A</v>
      </c>
      <c r="E161" s="109" t="e">
        <f>VLOOKUP(A161,Abstract1!A$4:R$102,18,FALSE)</f>
        <v>#N/A</v>
      </c>
      <c r="F161" s="110" t="e">
        <f>VLOOKUP(A161,Abstract1!A$4:R$102,13,FALSE)</f>
        <v>#N/A</v>
      </c>
      <c r="G161" s="110" t="e">
        <f>VLOOKUP(A161,Abstract1!A$4:R$102,11,FALSE)</f>
        <v>#N/A</v>
      </c>
    </row>
    <row r="162" spans="1:8" ht="39.75" customHeight="1" x14ac:dyDescent="0.25">
      <c r="A162" s="99">
        <v>158</v>
      </c>
      <c r="B162" s="100" t="e">
        <f>_xlfn.CONCAT(VLOOKUP(A162,Abstract1!A$4:R$102,4,FALSE),"",VLOOKUP(A162,Abstract1!A$4:R$102,5,FALSE))</f>
        <v>#N/A</v>
      </c>
      <c r="C162" s="96" t="e">
        <f>VLOOKUP(A162,Abstract1!A$4:R$102,17,FALSE)</f>
        <v>#N/A</v>
      </c>
      <c r="D162" s="109" t="e">
        <f>VLOOKUP(A162,Abstract1!A$4:R$102,12,FALSE)</f>
        <v>#N/A</v>
      </c>
      <c r="E162" s="109" t="e">
        <f>VLOOKUP(A162,Abstract1!A$4:R$102,18,FALSE)</f>
        <v>#N/A</v>
      </c>
      <c r="F162" s="110" t="e">
        <f>VLOOKUP(A162,Abstract1!A$4:R$102,13,FALSE)</f>
        <v>#N/A</v>
      </c>
      <c r="G162" s="110" t="e">
        <f>VLOOKUP(A162,Abstract1!A$4:R$102,11,FALSE)</f>
        <v>#N/A</v>
      </c>
    </row>
    <row r="163" spans="1:8" ht="39.75" customHeight="1" x14ac:dyDescent="0.25">
      <c r="A163" s="99">
        <v>159</v>
      </c>
      <c r="B163" s="100" t="e">
        <f>_xlfn.CONCAT(VLOOKUP(A163,Abstract1!A$4:R$102,4,FALSE),"",VLOOKUP(A163,Abstract1!A$4:R$102,5,FALSE))</f>
        <v>#N/A</v>
      </c>
      <c r="C163" s="96" t="e">
        <f>VLOOKUP(A163,Abstract1!A$4:R$102,17,FALSE)</f>
        <v>#N/A</v>
      </c>
      <c r="D163" s="109" t="e">
        <f>VLOOKUP(A163,Abstract1!A$4:R$102,12,FALSE)</f>
        <v>#N/A</v>
      </c>
      <c r="E163" s="109" t="e">
        <f>VLOOKUP(A163,Abstract1!A$4:R$102,18,FALSE)</f>
        <v>#N/A</v>
      </c>
      <c r="F163" s="110" t="e">
        <f>VLOOKUP(A163,Abstract1!A$4:R$102,13,FALSE)</f>
        <v>#N/A</v>
      </c>
      <c r="G163" s="110" t="e">
        <f>VLOOKUP(A163,Abstract1!A$4:R$102,11,FALSE)</f>
        <v>#N/A</v>
      </c>
    </row>
    <row r="164" spans="1:8" ht="39.75" customHeight="1" x14ac:dyDescent="0.25">
      <c r="A164" s="99">
        <v>160</v>
      </c>
      <c r="B164" s="100" t="e">
        <f>_xlfn.CONCAT(VLOOKUP(A164,Abstract1!A$4:R$102,4,FALSE),"",VLOOKUP(A164,Abstract1!A$4:R$102,5,FALSE))</f>
        <v>#N/A</v>
      </c>
      <c r="C164" s="96" t="e">
        <f>VLOOKUP(A164,Abstract1!A$4:R$102,17,FALSE)</f>
        <v>#N/A</v>
      </c>
      <c r="D164" s="109" t="e">
        <f>VLOOKUP(A164,Abstract1!A$4:R$102,12,FALSE)</f>
        <v>#N/A</v>
      </c>
      <c r="E164" s="109" t="e">
        <f>VLOOKUP(A164,Abstract1!A$4:R$102,18,FALSE)</f>
        <v>#N/A</v>
      </c>
      <c r="F164" s="110" t="e">
        <f>VLOOKUP(A164,Abstract1!A$4:R$102,13,FALSE)</f>
        <v>#N/A</v>
      </c>
      <c r="G164" s="110" t="e">
        <f>VLOOKUP(A164,Abstract1!A$4:R$102,11,FALSE)</f>
        <v>#N/A</v>
      </c>
    </row>
    <row r="165" spans="1:8" ht="39.75" customHeight="1" x14ac:dyDescent="0.25">
      <c r="A165" s="99">
        <v>161</v>
      </c>
      <c r="B165" s="100" t="e">
        <f>_xlfn.CONCAT(VLOOKUP(A165,Abstract1!A$4:R$102,4,FALSE),"",VLOOKUP(A165,Abstract1!A$4:R$102,5,FALSE))</f>
        <v>#N/A</v>
      </c>
      <c r="C165" s="96" t="e">
        <f>VLOOKUP(A165,Abstract1!A$4:R$102,17,FALSE)</f>
        <v>#N/A</v>
      </c>
      <c r="D165" s="109" t="e">
        <f>VLOOKUP(A165,Abstract1!A$4:R$102,12,FALSE)</f>
        <v>#N/A</v>
      </c>
      <c r="E165" s="109" t="e">
        <f>VLOOKUP(A165,Abstract1!A$4:R$102,18,FALSE)</f>
        <v>#N/A</v>
      </c>
      <c r="F165" s="110" t="e">
        <f>VLOOKUP(A165,Abstract1!A$4:R$102,13,FALSE)</f>
        <v>#N/A</v>
      </c>
      <c r="G165" s="110" t="e">
        <f>VLOOKUP(A165,Abstract1!A$4:R$102,11,FALSE)</f>
        <v>#N/A</v>
      </c>
    </row>
    <row r="166" spans="1:8" ht="4.5" customHeight="1" x14ac:dyDescent="0.25"/>
    <row r="167" spans="1:8" ht="30" customHeight="1" x14ac:dyDescent="0.25">
      <c r="A167" s="163" t="s">
        <v>121</v>
      </c>
      <c r="B167" s="163"/>
      <c r="C167" s="101"/>
    </row>
    <row r="172" spans="1:8" s="103" customFormat="1" ht="51" customHeight="1" x14ac:dyDescent="0.35">
      <c r="A172" s="162" t="s">
        <v>397</v>
      </c>
      <c r="B172" s="162"/>
      <c r="C172" s="162"/>
      <c r="D172" s="162"/>
      <c r="E172" s="162"/>
      <c r="F172" s="162"/>
      <c r="G172" s="162"/>
      <c r="H172" s="102"/>
    </row>
  </sheetData>
  <mergeCells count="5">
    <mergeCell ref="A1:G1"/>
    <mergeCell ref="A2:G2"/>
    <mergeCell ref="A3:G3"/>
    <mergeCell ref="A172:G172"/>
    <mergeCell ref="A167:B167"/>
  </mergeCells>
  <printOptions horizontalCentered="1"/>
  <pageMargins left="0" right="0" top="0.55118110236220474" bottom="0.55118110236220474" header="0" footer="0"/>
  <pageSetup paperSize="9" scale="67" orientation="landscape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8"/>
  <sheetViews>
    <sheetView view="pageBreakPreview" zoomScale="85" zoomScaleNormal="85" zoomScaleSheetLayoutView="85" workbookViewId="0">
      <selection activeCell="C11" sqref="C11"/>
    </sheetView>
  </sheetViews>
  <sheetFormatPr defaultRowHeight="15" x14ac:dyDescent="0.25"/>
  <cols>
    <col min="1" max="1" width="8.7109375" style="92" bestFit="1" customWidth="1"/>
    <col min="2" max="2" width="42.42578125" style="92" customWidth="1"/>
    <col min="3" max="3" width="17.5703125" style="92" bestFit="1" customWidth="1"/>
    <col min="4" max="5" width="42.42578125" style="92" customWidth="1"/>
    <col min="6" max="6" width="26.140625" style="92" customWidth="1"/>
    <col min="7" max="7" width="32" style="92" customWidth="1"/>
    <col min="8" max="16384" width="9.140625" style="92"/>
  </cols>
  <sheetData>
    <row r="1" spans="1:7" s="94" customFormat="1" ht="76.5" customHeight="1" x14ac:dyDescent="0.2">
      <c r="A1" s="152" t="s">
        <v>301</v>
      </c>
      <c r="B1" s="152"/>
      <c r="C1" s="152"/>
      <c r="D1" s="152"/>
      <c r="E1" s="152"/>
      <c r="F1" s="152"/>
      <c r="G1" s="152"/>
    </row>
    <row r="2" spans="1:7" s="94" customFormat="1" ht="29.25" customHeight="1" x14ac:dyDescent="0.2">
      <c r="A2" s="153" t="s">
        <v>374</v>
      </c>
      <c r="B2" s="153"/>
      <c r="C2" s="153"/>
      <c r="D2" s="153"/>
      <c r="E2" s="153"/>
      <c r="F2" s="153"/>
      <c r="G2" s="153"/>
    </row>
    <row r="3" spans="1:7" s="94" customFormat="1" ht="21" customHeight="1" x14ac:dyDescent="0.2">
      <c r="A3" s="152" t="s">
        <v>376</v>
      </c>
      <c r="B3" s="152"/>
      <c r="C3" s="152"/>
      <c r="D3" s="152"/>
      <c r="E3" s="152"/>
      <c r="F3" s="152"/>
      <c r="G3" s="152"/>
    </row>
    <row r="4" spans="1:7" s="94" customFormat="1" ht="21" customHeight="1" x14ac:dyDescent="0.2">
      <c r="A4" s="166" t="s">
        <v>482</v>
      </c>
      <c r="B4" s="166"/>
      <c r="C4" s="166"/>
      <c r="D4" s="166"/>
      <c r="E4" s="129"/>
      <c r="F4" s="129"/>
      <c r="G4" s="129"/>
    </row>
    <row r="5" spans="1:7" s="98" customFormat="1" ht="33.75" customHeight="1" x14ac:dyDescent="0.25">
      <c r="A5" s="97" t="s">
        <v>302</v>
      </c>
      <c r="B5" s="97" t="s">
        <v>392</v>
      </c>
      <c r="C5" s="97" t="s">
        <v>393</v>
      </c>
      <c r="D5" s="97" t="s">
        <v>309</v>
      </c>
      <c r="E5" s="97" t="s">
        <v>394</v>
      </c>
      <c r="F5" s="97" t="s">
        <v>310</v>
      </c>
      <c r="G5" s="97" t="s">
        <v>395</v>
      </c>
    </row>
    <row r="6" spans="1:7" ht="35.25" customHeight="1" x14ac:dyDescent="0.25">
      <c r="A6" s="99">
        <v>1</v>
      </c>
      <c r="B6" s="100" t="s">
        <v>501</v>
      </c>
      <c r="C6" s="96">
        <v>840</v>
      </c>
      <c r="D6" s="146" t="s">
        <v>498</v>
      </c>
      <c r="E6" s="146" t="s">
        <v>466</v>
      </c>
      <c r="F6" s="110" t="s">
        <v>465</v>
      </c>
      <c r="G6" s="110" t="s">
        <v>493</v>
      </c>
    </row>
    <row r="7" spans="1:7" ht="35.25" customHeight="1" x14ac:dyDescent="0.25">
      <c r="A7" s="99">
        <v>2</v>
      </c>
      <c r="B7" s="132" t="s">
        <v>502</v>
      </c>
      <c r="C7" s="96">
        <v>440</v>
      </c>
      <c r="D7" s="146" t="s">
        <v>436</v>
      </c>
      <c r="E7" s="146" t="s">
        <v>478</v>
      </c>
      <c r="F7" s="110" t="s">
        <v>477</v>
      </c>
      <c r="G7" s="110" t="s">
        <v>481</v>
      </c>
    </row>
    <row r="8" spans="1:7" ht="35.25" customHeight="1" x14ac:dyDescent="0.25">
      <c r="A8" s="99">
        <v>3</v>
      </c>
      <c r="B8" s="100" t="s">
        <v>503</v>
      </c>
      <c r="C8" s="96">
        <v>230</v>
      </c>
      <c r="D8" s="146" t="s">
        <v>500</v>
      </c>
      <c r="E8" s="146" t="s">
        <v>491</v>
      </c>
      <c r="F8" s="110" t="s">
        <v>490</v>
      </c>
      <c r="G8" s="110" t="s">
        <v>495</v>
      </c>
    </row>
    <row r="9" spans="1:7" ht="35.25" customHeight="1" x14ac:dyDescent="0.25">
      <c r="A9" s="99">
        <v>4</v>
      </c>
      <c r="B9" s="100"/>
      <c r="C9" s="96"/>
      <c r="D9" s="146"/>
      <c r="E9" s="146"/>
      <c r="F9" s="110"/>
      <c r="G9" s="110"/>
    </row>
    <row r="10" spans="1:7" ht="35.25" customHeight="1" x14ac:dyDescent="0.25">
      <c r="A10" s="99">
        <v>5</v>
      </c>
      <c r="B10" s="100"/>
      <c r="C10" s="96"/>
      <c r="D10" s="146"/>
      <c r="E10" s="146"/>
      <c r="F10" s="110"/>
      <c r="G10" s="110"/>
    </row>
    <row r="11" spans="1:7" ht="35.25" customHeight="1" x14ac:dyDescent="0.25">
      <c r="A11" s="99">
        <v>6</v>
      </c>
      <c r="B11" s="100"/>
      <c r="C11" s="96"/>
      <c r="D11" s="146"/>
      <c r="E11" s="146"/>
      <c r="F11" s="110"/>
      <c r="G11" s="110"/>
    </row>
    <row r="12" spans="1:7" ht="35.25" customHeight="1" x14ac:dyDescent="0.25">
      <c r="A12" s="99">
        <v>7</v>
      </c>
      <c r="B12" s="100"/>
      <c r="C12" s="96"/>
      <c r="D12" s="146"/>
      <c r="E12" s="146"/>
      <c r="F12" s="110"/>
      <c r="G12" s="110"/>
    </row>
    <row r="13" spans="1:7" ht="35.25" customHeight="1" x14ac:dyDescent="0.25">
      <c r="A13" s="99">
        <v>8</v>
      </c>
      <c r="B13" s="100"/>
      <c r="C13" s="96"/>
      <c r="D13" s="146"/>
      <c r="E13" s="146"/>
      <c r="F13" s="110"/>
      <c r="G13" s="110"/>
    </row>
    <row r="14" spans="1:7" ht="35.25" customHeight="1" x14ac:dyDescent="0.25">
      <c r="A14" s="99">
        <v>9</v>
      </c>
      <c r="B14" s="100"/>
      <c r="C14" s="96"/>
      <c r="D14" s="146"/>
      <c r="E14" s="146"/>
      <c r="F14" s="110"/>
      <c r="G14" s="110"/>
    </row>
    <row r="15" spans="1:7" ht="35.25" customHeight="1" x14ac:dyDescent="0.25">
      <c r="A15" s="99">
        <v>10</v>
      </c>
      <c r="B15" s="100"/>
      <c r="C15" s="96"/>
      <c r="D15" s="146"/>
      <c r="E15" s="146"/>
      <c r="F15" s="110"/>
      <c r="G15" s="110"/>
    </row>
    <row r="16" spans="1:7" ht="35.25" customHeight="1" x14ac:dyDescent="0.25">
      <c r="A16" s="99">
        <v>11</v>
      </c>
      <c r="B16" s="100"/>
      <c r="C16" s="96"/>
      <c r="D16" s="146"/>
      <c r="E16" s="146"/>
      <c r="F16" s="110"/>
      <c r="G16" s="110"/>
    </row>
    <row r="17" spans="1:7" ht="35.25" customHeight="1" x14ac:dyDescent="0.25">
      <c r="A17" s="99">
        <v>12</v>
      </c>
      <c r="B17" s="100"/>
      <c r="C17" s="96"/>
      <c r="D17" s="146"/>
      <c r="E17" s="146"/>
      <c r="F17" s="110"/>
      <c r="G17" s="110"/>
    </row>
    <row r="18" spans="1:7" ht="35.25" customHeight="1" x14ac:dyDescent="0.25">
      <c r="A18" s="99">
        <v>13</v>
      </c>
      <c r="B18" s="100"/>
      <c r="C18" s="96"/>
      <c r="D18" s="146"/>
      <c r="E18" s="146"/>
      <c r="F18" s="110"/>
      <c r="G18" s="110"/>
    </row>
    <row r="19" spans="1:7" ht="35.25" customHeight="1" x14ac:dyDescent="0.25">
      <c r="A19" s="99">
        <v>14</v>
      </c>
      <c r="B19" s="100"/>
      <c r="C19" s="96"/>
      <c r="D19" s="146"/>
      <c r="E19" s="146"/>
      <c r="F19" s="110"/>
      <c r="G19" s="110"/>
    </row>
    <row r="20" spans="1:7" ht="35.25" customHeight="1" x14ac:dyDescent="0.25">
      <c r="A20" s="99">
        <v>15</v>
      </c>
      <c r="B20" s="100"/>
      <c r="C20" s="96"/>
      <c r="D20" s="146"/>
      <c r="E20" s="146"/>
      <c r="F20" s="110"/>
      <c r="G20" s="110"/>
    </row>
    <row r="21" spans="1:7" ht="35.25" customHeight="1" x14ac:dyDescent="0.25">
      <c r="A21" s="99">
        <v>16</v>
      </c>
      <c r="B21" s="100"/>
      <c r="C21" s="96"/>
      <c r="D21" s="146"/>
      <c r="E21" s="146"/>
      <c r="F21" s="110"/>
      <c r="G21" s="110"/>
    </row>
    <row r="22" spans="1:7" ht="35.25" customHeight="1" x14ac:dyDescent="0.25">
      <c r="A22" s="99">
        <v>17</v>
      </c>
      <c r="B22" s="100"/>
      <c r="C22" s="96"/>
      <c r="D22" s="146"/>
      <c r="E22" s="146"/>
      <c r="F22" s="110"/>
      <c r="G22" s="110"/>
    </row>
    <row r="23" spans="1:7" ht="35.25" customHeight="1" x14ac:dyDescent="0.25">
      <c r="A23" s="99">
        <v>18</v>
      </c>
      <c r="B23" s="100"/>
      <c r="C23" s="96"/>
      <c r="D23" s="146"/>
      <c r="E23" s="146"/>
      <c r="F23" s="110"/>
      <c r="G23" s="110"/>
    </row>
    <row r="24" spans="1:7" ht="35.25" customHeight="1" x14ac:dyDescent="0.25">
      <c r="A24" s="99">
        <v>19</v>
      </c>
      <c r="B24" s="100"/>
      <c r="C24" s="96"/>
      <c r="D24" s="146"/>
      <c r="E24" s="146"/>
      <c r="F24" s="110"/>
      <c r="G24" s="110"/>
    </row>
    <row r="25" spans="1:7" ht="35.25" customHeight="1" x14ac:dyDescent="0.25">
      <c r="A25" s="99">
        <v>20</v>
      </c>
      <c r="B25" s="100"/>
      <c r="C25" s="96"/>
      <c r="D25" s="146"/>
      <c r="E25" s="146"/>
      <c r="F25" s="110"/>
      <c r="G25" s="110"/>
    </row>
    <row r="26" spans="1:7" ht="35.25" customHeight="1" x14ac:dyDescent="0.25">
      <c r="A26" s="99">
        <v>21</v>
      </c>
      <c r="B26" s="100"/>
      <c r="C26" s="96"/>
      <c r="D26" s="146"/>
      <c r="E26" s="146"/>
      <c r="F26" s="110"/>
      <c r="G26" s="110"/>
    </row>
    <row r="27" spans="1:7" ht="35.25" customHeight="1" x14ac:dyDescent="0.25">
      <c r="A27" s="99">
        <v>22</v>
      </c>
      <c r="B27" s="100"/>
      <c r="C27" s="96"/>
      <c r="D27" s="146"/>
      <c r="E27" s="146"/>
      <c r="F27" s="110"/>
      <c r="G27" s="110"/>
    </row>
    <row r="28" spans="1:7" ht="35.25" customHeight="1" x14ac:dyDescent="0.25">
      <c r="A28" s="99">
        <v>23</v>
      </c>
      <c r="B28" s="100"/>
      <c r="C28" s="96"/>
      <c r="D28" s="146"/>
      <c r="E28" s="146"/>
      <c r="F28" s="110"/>
      <c r="G28" s="110"/>
    </row>
    <row r="29" spans="1:7" ht="35.25" customHeight="1" x14ac:dyDescent="0.25">
      <c r="A29" s="99">
        <v>24</v>
      </c>
      <c r="B29" s="100"/>
      <c r="C29" s="96"/>
      <c r="D29" s="146"/>
      <c r="E29" s="146"/>
      <c r="F29" s="110"/>
      <c r="G29" s="110"/>
    </row>
    <row r="30" spans="1:7" ht="35.25" customHeight="1" x14ac:dyDescent="0.25">
      <c r="A30" s="99">
        <v>25</v>
      </c>
      <c r="B30" s="100"/>
      <c r="C30" s="96"/>
      <c r="D30" s="146"/>
      <c r="E30" s="146"/>
      <c r="F30" s="110"/>
      <c r="G30" s="110"/>
    </row>
    <row r="31" spans="1:7" ht="35.25" customHeight="1" x14ac:dyDescent="0.25">
      <c r="A31" s="99">
        <v>26</v>
      </c>
      <c r="B31" s="100"/>
      <c r="C31" s="96"/>
      <c r="D31" s="146"/>
      <c r="E31" s="146"/>
      <c r="F31" s="110"/>
      <c r="G31" s="110"/>
    </row>
    <row r="32" spans="1:7" ht="35.25" customHeight="1" x14ac:dyDescent="0.25">
      <c r="A32" s="99">
        <v>27</v>
      </c>
      <c r="B32" s="100"/>
      <c r="C32" s="96"/>
      <c r="D32" s="146"/>
      <c r="E32" s="146"/>
      <c r="F32" s="110"/>
      <c r="G32" s="110"/>
    </row>
    <row r="33" spans="1:8" ht="35.25" customHeight="1" x14ac:dyDescent="0.25">
      <c r="A33" s="99">
        <v>28</v>
      </c>
      <c r="B33" s="100"/>
      <c r="C33" s="96"/>
      <c r="D33" s="146"/>
      <c r="E33" s="146"/>
      <c r="F33" s="110"/>
      <c r="G33" s="110"/>
    </row>
    <row r="34" spans="1:8" ht="35.25" customHeight="1" x14ac:dyDescent="0.25">
      <c r="A34" s="99">
        <v>29</v>
      </c>
      <c r="B34" s="100"/>
      <c r="C34" s="96"/>
      <c r="D34" s="146"/>
      <c r="E34" s="146"/>
      <c r="F34" s="110"/>
      <c r="G34" s="110"/>
    </row>
    <row r="35" spans="1:8" ht="35.25" customHeight="1" x14ac:dyDescent="0.25">
      <c r="A35" s="99">
        <v>30</v>
      </c>
      <c r="B35" s="100"/>
      <c r="C35" s="96"/>
      <c r="D35" s="146"/>
      <c r="E35" s="146"/>
      <c r="F35" s="110"/>
      <c r="G35" s="110"/>
    </row>
    <row r="36" spans="1:8" ht="35.25" customHeight="1" x14ac:dyDescent="0.25">
      <c r="A36" s="99">
        <v>31</v>
      </c>
      <c r="B36" s="100"/>
      <c r="C36" s="96"/>
      <c r="D36" s="146"/>
      <c r="E36" s="146"/>
      <c r="F36" s="110"/>
      <c r="G36" s="110"/>
    </row>
    <row r="37" spans="1:8" ht="35.25" customHeight="1" x14ac:dyDescent="0.25">
      <c r="A37" s="99">
        <v>32</v>
      </c>
      <c r="B37" s="100"/>
      <c r="C37" s="96"/>
      <c r="D37" s="146"/>
      <c r="E37" s="146"/>
      <c r="F37" s="110"/>
      <c r="G37" s="110"/>
    </row>
    <row r="38" spans="1:8" ht="35.25" customHeight="1" x14ac:dyDescent="0.25">
      <c r="A38" s="99">
        <v>33</v>
      </c>
      <c r="B38" s="100"/>
      <c r="C38" s="96"/>
      <c r="D38" s="146"/>
      <c r="E38" s="146"/>
      <c r="F38" s="110"/>
      <c r="G38" s="110"/>
    </row>
    <row r="39" spans="1:8" ht="35.25" customHeight="1" x14ac:dyDescent="0.25">
      <c r="A39" s="99">
        <v>34</v>
      </c>
      <c r="B39" s="100"/>
      <c r="C39" s="96"/>
      <c r="D39" s="146"/>
      <c r="E39" s="146"/>
      <c r="F39" s="110"/>
      <c r="G39" s="110"/>
    </row>
    <row r="40" spans="1:8" ht="35.25" customHeight="1" x14ac:dyDescent="0.25">
      <c r="A40" s="99">
        <v>35</v>
      </c>
      <c r="B40" s="100"/>
      <c r="C40" s="96"/>
      <c r="D40" s="146"/>
      <c r="E40" s="146"/>
      <c r="F40" s="110"/>
      <c r="G40" s="110"/>
    </row>
    <row r="41" spans="1:8" ht="35.25" customHeight="1" x14ac:dyDescent="0.25">
      <c r="A41" s="99">
        <v>36</v>
      </c>
      <c r="B41" s="100"/>
      <c r="C41" s="96"/>
      <c r="D41" s="146"/>
      <c r="E41" s="146"/>
      <c r="F41" s="110"/>
      <c r="G41" s="110"/>
    </row>
    <row r="42" spans="1:8" ht="6" customHeight="1" x14ac:dyDescent="0.25"/>
    <row r="43" spans="1:8" ht="33.75" customHeight="1" x14ac:dyDescent="0.25">
      <c r="A43" s="164" t="s">
        <v>121</v>
      </c>
      <c r="B43" s="165"/>
      <c r="C43" s="145">
        <f>SUM(C6:C40)</f>
        <v>1510</v>
      </c>
    </row>
    <row r="44" spans="1:8" ht="20.25" customHeight="1" x14ac:dyDescent="0.25">
      <c r="D44" s="92" t="s">
        <v>315</v>
      </c>
    </row>
    <row r="45" spans="1:8" ht="12" customHeight="1" x14ac:dyDescent="0.25"/>
    <row r="46" spans="1:8" ht="13.5" customHeight="1" x14ac:dyDescent="0.25"/>
    <row r="47" spans="1:8" ht="26.25" customHeight="1" x14ac:dyDescent="0.25"/>
    <row r="48" spans="1:8" s="103" customFormat="1" ht="35.25" customHeight="1" x14ac:dyDescent="0.35">
      <c r="A48" s="162" t="s">
        <v>417</v>
      </c>
      <c r="B48" s="162"/>
      <c r="C48" s="162"/>
      <c r="D48" s="162"/>
      <c r="E48" s="162"/>
      <c r="F48" s="162"/>
      <c r="G48" s="162"/>
      <c r="H48" s="102"/>
    </row>
  </sheetData>
  <mergeCells count="6">
    <mergeCell ref="A1:G1"/>
    <mergeCell ref="A2:G2"/>
    <mergeCell ref="A3:G3"/>
    <mergeCell ref="A43:B43"/>
    <mergeCell ref="A48:G48"/>
    <mergeCell ref="A4:D4"/>
  </mergeCells>
  <conditionalFormatting sqref="G6:G41">
    <cfRule type="duplicateValues" dxfId="1" priority="50"/>
  </conditionalFormatting>
  <printOptions horizontalCentered="1"/>
  <pageMargins left="0" right="0" top="0.35433070866141736" bottom="0.55118110236220474" header="0" footer="0"/>
  <pageSetup paperSize="9" scale="67" orientation="landscape" verticalDpi="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21"/>
  <sheetViews>
    <sheetView view="pageBreakPreview" zoomScale="85" zoomScaleNormal="85" zoomScaleSheetLayoutView="85" workbookViewId="0">
      <selection activeCell="M8" sqref="M8"/>
    </sheetView>
  </sheetViews>
  <sheetFormatPr defaultRowHeight="15" x14ac:dyDescent="0.25"/>
  <cols>
    <col min="1" max="1" width="8.7109375" style="92" bestFit="1" customWidth="1"/>
    <col min="2" max="2" width="42.42578125" style="92" customWidth="1"/>
    <col min="3" max="3" width="17.5703125" style="92" bestFit="1" customWidth="1"/>
    <col min="4" max="5" width="42.42578125" style="92" customWidth="1"/>
    <col min="6" max="6" width="26.140625" style="92" customWidth="1"/>
    <col min="7" max="7" width="32" style="92" customWidth="1"/>
    <col min="8" max="16384" width="9.140625" style="92"/>
  </cols>
  <sheetData>
    <row r="1" spans="1:7" s="94" customFormat="1" ht="76.5" customHeight="1" x14ac:dyDescent="0.2">
      <c r="A1" s="152" t="s">
        <v>301</v>
      </c>
      <c r="B1" s="152"/>
      <c r="C1" s="152"/>
      <c r="D1" s="152"/>
      <c r="E1" s="152"/>
      <c r="F1" s="152"/>
      <c r="G1" s="152"/>
    </row>
    <row r="2" spans="1:7" s="94" customFormat="1" ht="29.25" customHeight="1" x14ac:dyDescent="0.2">
      <c r="A2" s="153" t="s">
        <v>374</v>
      </c>
      <c r="B2" s="153"/>
      <c r="C2" s="153"/>
      <c r="D2" s="153"/>
      <c r="E2" s="153"/>
      <c r="F2" s="153"/>
      <c r="G2" s="153"/>
    </row>
    <row r="3" spans="1:7" s="94" customFormat="1" ht="21" customHeight="1" x14ac:dyDescent="0.2">
      <c r="A3" s="152" t="s">
        <v>376</v>
      </c>
      <c r="B3" s="152"/>
      <c r="C3" s="152"/>
      <c r="D3" s="152"/>
      <c r="E3" s="152"/>
      <c r="F3" s="152"/>
      <c r="G3" s="152"/>
    </row>
    <row r="4" spans="1:7" s="94" customFormat="1" ht="21" customHeight="1" x14ac:dyDescent="0.2">
      <c r="A4" s="166" t="s">
        <v>429</v>
      </c>
      <c r="B4" s="166"/>
      <c r="C4" s="166"/>
      <c r="D4" s="166"/>
      <c r="E4" s="129"/>
      <c r="F4" s="129"/>
      <c r="G4" s="129"/>
    </row>
    <row r="5" spans="1:7" s="98" customFormat="1" ht="33.75" customHeight="1" x14ac:dyDescent="0.25">
      <c r="A5" s="97" t="s">
        <v>302</v>
      </c>
      <c r="B5" s="97" t="s">
        <v>392</v>
      </c>
      <c r="C5" s="97" t="s">
        <v>393</v>
      </c>
      <c r="D5" s="97" t="s">
        <v>309</v>
      </c>
      <c r="E5" s="97" t="s">
        <v>394</v>
      </c>
      <c r="F5" s="97" t="s">
        <v>310</v>
      </c>
      <c r="G5" s="97" t="s">
        <v>395</v>
      </c>
    </row>
    <row r="6" spans="1:7" s="98" customFormat="1" ht="33.75" customHeight="1" x14ac:dyDescent="0.25">
      <c r="A6" s="130">
        <v>1</v>
      </c>
      <c r="B6" s="100" t="s">
        <v>430</v>
      </c>
      <c r="C6" s="131">
        <v>1250</v>
      </c>
      <c r="D6" s="130" t="s">
        <v>431</v>
      </c>
      <c r="E6" s="132" t="s">
        <v>432</v>
      </c>
      <c r="F6" s="130" t="s">
        <v>433</v>
      </c>
      <c r="G6" s="130" t="s">
        <v>434</v>
      </c>
    </row>
    <row r="7" spans="1:7" s="98" customFormat="1" ht="33.75" customHeight="1" x14ac:dyDescent="0.25">
      <c r="A7" s="130">
        <v>2</v>
      </c>
      <c r="B7" s="100" t="s">
        <v>435</v>
      </c>
      <c r="C7" s="131">
        <v>850</v>
      </c>
      <c r="D7" s="130" t="s">
        <v>436</v>
      </c>
      <c r="E7" s="132" t="s">
        <v>425</v>
      </c>
      <c r="F7" s="130" t="s">
        <v>424</v>
      </c>
      <c r="G7" s="130" t="s">
        <v>437</v>
      </c>
    </row>
    <row r="8" spans="1:7" s="98" customFormat="1" ht="33.75" customHeight="1" x14ac:dyDescent="0.25">
      <c r="A8" s="130">
        <v>3</v>
      </c>
      <c r="B8" s="100" t="s">
        <v>438</v>
      </c>
      <c r="C8" s="131">
        <v>4997</v>
      </c>
      <c r="D8" s="133" t="s">
        <v>439</v>
      </c>
      <c r="E8" s="132" t="s">
        <v>440</v>
      </c>
      <c r="F8" s="130" t="s">
        <v>441</v>
      </c>
      <c r="G8" s="130" t="s">
        <v>442</v>
      </c>
    </row>
    <row r="9" spans="1:7" s="98" customFormat="1" ht="33.75" customHeight="1" x14ac:dyDescent="0.25">
      <c r="A9" s="130">
        <v>4</v>
      </c>
      <c r="B9" s="100" t="s">
        <v>443</v>
      </c>
      <c r="C9" s="131">
        <v>900</v>
      </c>
      <c r="D9" s="130" t="s">
        <v>444</v>
      </c>
      <c r="E9" s="132" t="s">
        <v>445</v>
      </c>
      <c r="F9" s="130" t="s">
        <v>446</v>
      </c>
      <c r="G9" s="130" t="s">
        <v>447</v>
      </c>
    </row>
    <row r="10" spans="1:7" s="98" customFormat="1" ht="33.75" customHeight="1" x14ac:dyDescent="0.25">
      <c r="A10" s="130">
        <v>6</v>
      </c>
      <c r="B10" s="100" t="s">
        <v>448</v>
      </c>
      <c r="C10" s="131">
        <v>775</v>
      </c>
      <c r="D10" s="130" t="s">
        <v>444</v>
      </c>
      <c r="E10" s="132" t="s">
        <v>449</v>
      </c>
      <c r="F10" s="130" t="s">
        <v>450</v>
      </c>
      <c r="G10" s="130" t="s">
        <v>451</v>
      </c>
    </row>
    <row r="11" spans="1:7" s="98" customFormat="1" ht="33.75" customHeight="1" x14ac:dyDescent="0.25">
      <c r="A11" s="130">
        <v>7</v>
      </c>
      <c r="B11" s="100" t="s">
        <v>452</v>
      </c>
      <c r="C11" s="131">
        <v>3728</v>
      </c>
      <c r="D11" s="130" t="s">
        <v>453</v>
      </c>
      <c r="E11" s="132" t="s">
        <v>454</v>
      </c>
      <c r="F11" s="130" t="s">
        <v>455</v>
      </c>
      <c r="G11" s="130" t="s">
        <v>456</v>
      </c>
    </row>
    <row r="12" spans="1:7" s="98" customFormat="1" ht="33.75" customHeight="1" x14ac:dyDescent="0.25">
      <c r="A12" s="130">
        <v>8</v>
      </c>
      <c r="B12" s="100" t="s">
        <v>457</v>
      </c>
      <c r="C12" s="131">
        <v>1380</v>
      </c>
      <c r="D12" s="130" t="s">
        <v>436</v>
      </c>
      <c r="E12" s="132" t="s">
        <v>421</v>
      </c>
      <c r="F12" s="130" t="s">
        <v>420</v>
      </c>
      <c r="G12" s="130" t="s">
        <v>458</v>
      </c>
    </row>
    <row r="13" spans="1:7" s="98" customFormat="1" ht="33.75" customHeight="1" x14ac:dyDescent="0.25">
      <c r="A13" s="130">
        <v>9</v>
      </c>
      <c r="B13" s="100" t="s">
        <v>459</v>
      </c>
      <c r="C13" s="131">
        <v>552</v>
      </c>
      <c r="D13" s="130" t="s">
        <v>460</v>
      </c>
      <c r="E13" s="132" t="s">
        <v>427</v>
      </c>
      <c r="F13" s="130" t="s">
        <v>461</v>
      </c>
      <c r="G13" s="130" t="s">
        <v>462</v>
      </c>
    </row>
    <row r="14" spans="1:7" s="98" customFormat="1" ht="33.75" customHeight="1" x14ac:dyDescent="0.25">
      <c r="A14" s="130">
        <v>10</v>
      </c>
      <c r="B14" s="100" t="s">
        <v>426</v>
      </c>
      <c r="C14" s="131">
        <v>276</v>
      </c>
      <c r="D14" s="130" t="s">
        <v>444</v>
      </c>
      <c r="E14" s="132" t="s">
        <v>423</v>
      </c>
      <c r="F14" s="130" t="s">
        <v>422</v>
      </c>
      <c r="G14" s="130" t="s">
        <v>428</v>
      </c>
    </row>
    <row r="15" spans="1:7" ht="17.25" customHeight="1" x14ac:dyDescent="0.25"/>
    <row r="16" spans="1:7" ht="43.5" customHeight="1" x14ac:dyDescent="0.25">
      <c r="A16" s="164" t="s">
        <v>121</v>
      </c>
      <c r="B16" s="165"/>
      <c r="C16" s="101">
        <f>SUM(C6:C14)</f>
        <v>14708</v>
      </c>
    </row>
    <row r="17" spans="1:8" ht="26.25" customHeight="1" x14ac:dyDescent="0.25"/>
    <row r="18" spans="1:8" ht="26.25" customHeight="1" x14ac:dyDescent="0.25"/>
    <row r="19" spans="1:8" ht="26.25" customHeight="1" x14ac:dyDescent="0.25"/>
    <row r="20" spans="1:8" ht="26.25" customHeight="1" x14ac:dyDescent="0.25"/>
    <row r="21" spans="1:8" s="103" customFormat="1" ht="35.25" customHeight="1" x14ac:dyDescent="0.35">
      <c r="A21" s="162" t="s">
        <v>417</v>
      </c>
      <c r="B21" s="162"/>
      <c r="C21" s="162"/>
      <c r="D21" s="162"/>
      <c r="E21" s="162"/>
      <c r="F21" s="162"/>
      <c r="G21" s="162"/>
      <c r="H21" s="102"/>
    </row>
  </sheetData>
  <mergeCells count="6">
    <mergeCell ref="A21:G21"/>
    <mergeCell ref="A1:G1"/>
    <mergeCell ref="A2:G2"/>
    <mergeCell ref="A3:G3"/>
    <mergeCell ref="A4:D4"/>
    <mergeCell ref="A16:B16"/>
  </mergeCells>
  <conditionalFormatting sqref="G6:G14">
    <cfRule type="duplicateValues" dxfId="0" priority="1"/>
  </conditionalFormatting>
  <printOptions horizontalCentered="1"/>
  <pageMargins left="0" right="0" top="0.35433070866141736" bottom="0.55118110236220474" header="0" footer="0"/>
  <pageSetup paperSize="9" scale="67" orientation="landscape" verticalDpi="0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PP112575:TAI1046883"/>
  <sheetViews>
    <sheetView workbookViewId="0"/>
  </sheetViews>
  <sheetFormatPr defaultRowHeight="15" x14ac:dyDescent="0.25"/>
  <sheetData>
    <row r="112575" spans="2337:2337" x14ac:dyDescent="0.25">
      <c r="CKW112575" t="s">
        <v>322</v>
      </c>
    </row>
    <row r="261740" spans="6663:6663" x14ac:dyDescent="0.25">
      <c r="IVG261740" t="s">
        <v>328</v>
      </c>
    </row>
    <row r="461011" spans="5088:5088" x14ac:dyDescent="0.25">
      <c r="GMR461011" t="s">
        <v>326</v>
      </c>
    </row>
    <row r="497357" spans="13555:13555" x14ac:dyDescent="0.25">
      <c r="TAI497357" t="s">
        <v>321</v>
      </c>
    </row>
    <row r="895531" spans="1083:1083" x14ac:dyDescent="0.25">
      <c r="AOQ895531" t="s">
        <v>329</v>
      </c>
    </row>
    <row r="1046883" spans="432:432" x14ac:dyDescent="0.25">
      <c r="PP1046883" t="s">
        <v>327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18</vt:i4>
      </vt:variant>
    </vt:vector>
  </HeadingPairs>
  <TitlesOfParts>
    <vt:vector size="34" baseType="lpstr">
      <vt:lpstr>Paste here</vt:lpstr>
      <vt:lpstr>Mail merge</vt:lpstr>
      <vt:lpstr>External</vt:lpstr>
      <vt:lpstr>Internal</vt:lpstr>
      <vt:lpstr>Skilled</vt:lpstr>
      <vt:lpstr>Technician</vt:lpstr>
      <vt:lpstr>Distance matrix</vt:lpstr>
      <vt:lpstr>Claim Amount</vt:lpstr>
      <vt:lpstr>Abst-Ext.</vt:lpstr>
      <vt:lpstr>Abst-Int.</vt:lpstr>
      <vt:lpstr>Abst-skilled</vt:lpstr>
      <vt:lpstr>Abst-Tech.</vt:lpstr>
      <vt:lpstr>Abstract1</vt:lpstr>
      <vt:lpstr>Abstract2</vt:lpstr>
      <vt:lpstr>Abstract2 (2)</vt:lpstr>
      <vt:lpstr>Abstract2 (3)</vt:lpstr>
      <vt:lpstr>'Abst-Ext.'!Print_Area</vt:lpstr>
      <vt:lpstr>'Abst-Int.'!Print_Area</vt:lpstr>
      <vt:lpstr>Abstract1!Print_Area</vt:lpstr>
      <vt:lpstr>Abstract2!Print_Area</vt:lpstr>
      <vt:lpstr>'Abstract2 (2)'!Print_Area</vt:lpstr>
      <vt:lpstr>'Abstract2 (3)'!Print_Area</vt:lpstr>
      <vt:lpstr>'Abst-skilled'!Print_Area</vt:lpstr>
      <vt:lpstr>'Abst-Tech.'!Print_Area</vt:lpstr>
      <vt:lpstr>'Distance matrix'!Print_Area</vt:lpstr>
      <vt:lpstr>'Abst-Ext.'!Print_Titles</vt:lpstr>
      <vt:lpstr>'Abst-Int.'!Print_Titles</vt:lpstr>
      <vt:lpstr>Abstract1!Print_Titles</vt:lpstr>
      <vt:lpstr>Abstract2!Print_Titles</vt:lpstr>
      <vt:lpstr>'Abstract2 (2)'!Print_Titles</vt:lpstr>
      <vt:lpstr>'Abstract2 (3)'!Print_Titles</vt:lpstr>
      <vt:lpstr>'Abst-skilled'!Print_Titles</vt:lpstr>
      <vt:lpstr>'Abst-Tech.'!Print_Titles</vt:lpstr>
      <vt:lpstr>'Distance matrix'!Print_Titles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coe krce</dc:creator>
  <cp:lastModifiedBy>KRCE STAFF 05</cp:lastModifiedBy>
  <cp:lastPrinted>2026-06-05T05:04:01Z</cp:lastPrinted>
  <dcterms:created xsi:type="dcterms:W3CDTF">2015-06-05T18:17:20Z</dcterms:created>
  <dcterms:modified xsi:type="dcterms:W3CDTF">2026-07-31T05:17:06Z</dcterms:modified>
</cp:coreProperties>
</file>